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D986AD2-C7CA-4168-9AB0-27D1D9E578B0}" xr6:coauthVersionLast="47" xr6:coauthVersionMax="47" xr10:uidLastSave="{00000000-0000-0000-0000-000000000000}"/>
  <bookViews>
    <workbookView xWindow="-120" yWindow="-120" windowWidth="29040" windowHeight="17640" xr2:uid="{96196BE5-A2D8-44F8-A792-E91BC68938F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V70" i="1"/>
  <c r="U70" i="1"/>
  <c r="T70" i="1"/>
  <c r="S70" i="1"/>
  <c r="R70" i="1"/>
  <c r="P70" i="1"/>
  <c r="J86" i="1" s="1"/>
  <c r="M70" i="1"/>
  <c r="J83" i="1" s="1"/>
  <c r="K70" i="1"/>
  <c r="J80" i="1" s="1"/>
  <c r="W69" i="1"/>
  <c r="I69" i="1"/>
  <c r="E69" i="1"/>
  <c r="W68" i="1"/>
  <c r="I68" i="1"/>
  <c r="E68" i="1"/>
  <c r="W67" i="1"/>
  <c r="I67" i="1"/>
  <c r="E67" i="1"/>
  <c r="W66" i="1"/>
  <c r="I66" i="1"/>
  <c r="E66" i="1"/>
  <c r="W65" i="1"/>
  <c r="I65" i="1"/>
  <c r="E65" i="1"/>
  <c r="W64" i="1"/>
  <c r="I64" i="1"/>
  <c r="E64" i="1"/>
  <c r="W63" i="1"/>
  <c r="I63" i="1"/>
  <c r="E63" i="1"/>
  <c r="W62" i="1"/>
  <c r="I62" i="1"/>
  <c r="E62" i="1"/>
  <c r="W61" i="1"/>
  <c r="I61" i="1"/>
  <c r="F61" i="1"/>
  <c r="X61" i="1" s="1"/>
  <c r="W60" i="1"/>
  <c r="I60" i="1"/>
  <c r="E60" i="1"/>
  <c r="W59" i="1"/>
  <c r="I59" i="1"/>
  <c r="E59" i="1"/>
  <c r="W58" i="1"/>
  <c r="I58" i="1"/>
  <c r="E58" i="1"/>
  <c r="W57" i="1"/>
  <c r="I57" i="1"/>
  <c r="E57" i="1"/>
  <c r="W56" i="1"/>
  <c r="I56" i="1"/>
  <c r="E56" i="1"/>
  <c r="W55" i="1"/>
  <c r="I55" i="1"/>
  <c r="E55" i="1"/>
  <c r="F55" i="1" s="1"/>
  <c r="X55" i="1" s="1"/>
  <c r="W54" i="1"/>
  <c r="I54" i="1"/>
  <c r="E54" i="1"/>
  <c r="W53" i="1"/>
  <c r="I53" i="1"/>
  <c r="E53" i="1"/>
  <c r="Q52" i="1"/>
  <c r="W52" i="1" s="1"/>
  <c r="H52" i="1"/>
  <c r="W51" i="1"/>
  <c r="I51" i="1"/>
  <c r="F51" i="1"/>
  <c r="X51" i="1" s="1"/>
  <c r="W50" i="1"/>
  <c r="I50" i="1"/>
  <c r="E50" i="1"/>
  <c r="W49" i="1"/>
  <c r="I49" i="1"/>
  <c r="F49" i="1"/>
  <c r="X49" i="1" s="1"/>
  <c r="W48" i="1"/>
  <c r="I48" i="1"/>
  <c r="F48" i="1"/>
  <c r="X48" i="1" s="1"/>
  <c r="W47" i="1"/>
  <c r="I47" i="1"/>
  <c r="F47" i="1"/>
  <c r="X47" i="1" s="1"/>
  <c r="W46" i="1"/>
  <c r="I46" i="1"/>
  <c r="E46" i="1"/>
  <c r="W45" i="1"/>
  <c r="I45" i="1"/>
  <c r="E45" i="1"/>
  <c r="W44" i="1"/>
  <c r="I44" i="1"/>
  <c r="F44" i="1"/>
  <c r="X44" i="1" s="1"/>
  <c r="W43" i="1"/>
  <c r="H43" i="1"/>
  <c r="I43" i="1" s="1"/>
  <c r="E43" i="1"/>
  <c r="W42" i="1"/>
  <c r="I42" i="1"/>
  <c r="E42" i="1"/>
  <c r="N41" i="1"/>
  <c r="W41" i="1" s="1"/>
  <c r="H41" i="1"/>
  <c r="I41" i="1" s="1"/>
  <c r="F41" i="1"/>
  <c r="X41" i="1" s="1"/>
  <c r="W40" i="1"/>
  <c r="I40" i="1"/>
  <c r="F40" i="1"/>
  <c r="X40" i="1" s="1"/>
  <c r="W39" i="1"/>
  <c r="I39" i="1"/>
  <c r="E39" i="1"/>
  <c r="W38" i="1"/>
  <c r="I38" i="1"/>
  <c r="E38" i="1"/>
  <c r="W37" i="1"/>
  <c r="H37" i="1"/>
  <c r="I37" i="1" s="1"/>
  <c r="E37" i="1"/>
  <c r="J36" i="1"/>
  <c r="W36" i="1" s="1"/>
  <c r="I36" i="1"/>
  <c r="F36" i="1"/>
  <c r="X36" i="1" s="1"/>
  <c r="W35" i="1"/>
  <c r="I35" i="1"/>
  <c r="F35" i="1"/>
  <c r="X35" i="1" s="1"/>
  <c r="W34" i="1"/>
  <c r="I34" i="1"/>
  <c r="F34" i="1"/>
  <c r="X34" i="1" s="1"/>
  <c r="W33" i="1"/>
  <c r="I33" i="1"/>
  <c r="F33" i="1"/>
  <c r="X33" i="1" s="1"/>
  <c r="W32" i="1"/>
  <c r="H32" i="1"/>
  <c r="I32" i="1" s="1"/>
  <c r="F32" i="1"/>
  <c r="X32" i="1" s="1"/>
  <c r="W31" i="1"/>
  <c r="I31" i="1"/>
  <c r="F31" i="1"/>
  <c r="X31" i="1" s="1"/>
  <c r="W30" i="1"/>
  <c r="I30" i="1"/>
  <c r="F30" i="1"/>
  <c r="X30" i="1" s="1"/>
  <c r="Q29" i="1"/>
  <c r="W29" i="1" s="1"/>
  <c r="H29" i="1"/>
  <c r="Q28" i="1"/>
  <c r="N28" i="1"/>
  <c r="I28" i="1"/>
  <c r="F28" i="1"/>
  <c r="X28" i="1" s="1"/>
  <c r="W27" i="1"/>
  <c r="I27" i="1"/>
  <c r="F27" i="1"/>
  <c r="X27" i="1" s="1"/>
  <c r="W26" i="1"/>
  <c r="I26" i="1"/>
  <c r="F26" i="1"/>
  <c r="X26" i="1" s="1"/>
  <c r="W25" i="1"/>
  <c r="G25" i="1"/>
  <c r="I25" i="1" s="1"/>
  <c r="E25" i="1"/>
  <c r="Q24" i="1"/>
  <c r="O24" i="1"/>
  <c r="W24" i="1" s="1"/>
  <c r="G24" i="1"/>
  <c r="I24" i="1" s="1"/>
  <c r="E24" i="1"/>
  <c r="O23" i="1"/>
  <c r="G23" i="1"/>
  <c r="I23" i="1" s="1"/>
  <c r="E23" i="1"/>
  <c r="W22" i="1"/>
  <c r="I22" i="1"/>
  <c r="F22" i="1"/>
  <c r="X22" i="1" s="1"/>
  <c r="W21" i="1"/>
  <c r="I21" i="1"/>
  <c r="F21" i="1"/>
  <c r="X21" i="1" s="1"/>
  <c r="W20" i="1"/>
  <c r="G20" i="1"/>
  <c r="W19" i="1"/>
  <c r="G19" i="1"/>
  <c r="J18" i="1"/>
  <c r="G18" i="1"/>
  <c r="W17" i="1"/>
  <c r="G17" i="1"/>
  <c r="W16" i="1"/>
  <c r="I16" i="1"/>
  <c r="F16" i="1"/>
  <c r="X16" i="1" s="1"/>
  <c r="W15" i="1"/>
  <c r="G15" i="1"/>
  <c r="W14" i="1"/>
  <c r="G14" i="1"/>
  <c r="W13" i="1"/>
  <c r="G13" i="1"/>
  <c r="W12" i="1"/>
  <c r="G12" i="1"/>
  <c r="L11" i="1"/>
  <c r="I11" i="1"/>
  <c r="F11" i="1"/>
  <c r="X11" i="1" s="1"/>
  <c r="W10" i="1"/>
  <c r="G10" i="1"/>
  <c r="W9" i="1"/>
  <c r="G9" i="1"/>
  <c r="Q8" i="1"/>
  <c r="G8" i="1"/>
  <c r="W7" i="1"/>
  <c r="G7" i="1"/>
  <c r="W6" i="1"/>
  <c r="G6" i="1"/>
  <c r="F6" i="1" s="1"/>
  <c r="X6" i="1" s="1"/>
  <c r="W5" i="1"/>
  <c r="I5" i="1"/>
  <c r="E5" i="1"/>
  <c r="H3" i="1"/>
  <c r="G3" i="1"/>
  <c r="I52" i="1" l="1"/>
  <c r="E52" i="1"/>
  <c r="E70" i="1" s="1"/>
  <c r="J90" i="1"/>
  <c r="J73" i="1"/>
  <c r="F69" i="1"/>
  <c r="X69" i="1" s="1"/>
  <c r="Y69" i="1" s="1"/>
  <c r="F68" i="1"/>
  <c r="X68" i="1" s="1"/>
  <c r="Y68" i="1" s="1"/>
  <c r="F67" i="1"/>
  <c r="X67" i="1" s="1"/>
  <c r="Y67" i="1" s="1"/>
  <c r="F66" i="1"/>
  <c r="X66" i="1" s="1"/>
  <c r="Y66" i="1" s="1"/>
  <c r="F65" i="1"/>
  <c r="X65" i="1" s="1"/>
  <c r="Y65" i="1" s="1"/>
  <c r="F64" i="1"/>
  <c r="X64" i="1" s="1"/>
  <c r="Y64" i="1" s="1"/>
  <c r="F63" i="1"/>
  <c r="X63" i="1" s="1"/>
  <c r="Y63" i="1" s="1"/>
  <c r="F62" i="1"/>
  <c r="X62" i="1" s="1"/>
  <c r="Y62" i="1" s="1"/>
  <c r="Y61" i="1"/>
  <c r="F60" i="1"/>
  <c r="X60" i="1" s="1"/>
  <c r="Y60" i="1" s="1"/>
  <c r="F59" i="1"/>
  <c r="X59" i="1" s="1"/>
  <c r="Y59" i="1" s="1"/>
  <c r="F58" i="1"/>
  <c r="X58" i="1" s="1"/>
  <c r="Y58" i="1" s="1"/>
  <c r="F57" i="1"/>
  <c r="X57" i="1" s="1"/>
  <c r="Y57" i="1" s="1"/>
  <c r="F56" i="1"/>
  <c r="X56" i="1" s="1"/>
  <c r="Y56" i="1" s="1"/>
  <c r="Y55" i="1"/>
  <c r="F54" i="1"/>
  <c r="X54" i="1" s="1"/>
  <c r="Y54" i="1" s="1"/>
  <c r="F53" i="1"/>
  <c r="X53" i="1" s="1"/>
  <c r="Y53" i="1" s="1"/>
  <c r="Y51" i="1"/>
  <c r="F50" i="1"/>
  <c r="X50" i="1" s="1"/>
  <c r="Y50" i="1" s="1"/>
  <c r="Y49" i="1"/>
  <c r="Y48" i="1"/>
  <c r="Y47" i="1"/>
  <c r="F46" i="1"/>
  <c r="X46" i="1" s="1"/>
  <c r="Y46" i="1" s="1"/>
  <c r="F45" i="1"/>
  <c r="X45" i="1" s="1"/>
  <c r="Y45" i="1" s="1"/>
  <c r="Y44" i="1"/>
  <c r="F43" i="1"/>
  <c r="X43" i="1" s="1"/>
  <c r="Y43" i="1" s="1"/>
  <c r="F42" i="1"/>
  <c r="X42" i="1" s="1"/>
  <c r="Y42" i="1" s="1"/>
  <c r="Y41" i="1"/>
  <c r="Y40" i="1"/>
  <c r="F39" i="1"/>
  <c r="X39" i="1" s="1"/>
  <c r="Y39" i="1" s="1"/>
  <c r="F38" i="1"/>
  <c r="X38" i="1" s="1"/>
  <c r="Y38" i="1" s="1"/>
  <c r="F37" i="1"/>
  <c r="X37" i="1" s="1"/>
  <c r="Y37" i="1" s="1"/>
  <c r="Y36" i="1"/>
  <c r="Y35" i="1"/>
  <c r="Y34" i="1"/>
  <c r="Y33" i="1"/>
  <c r="Y32" i="1"/>
  <c r="Y31" i="1"/>
  <c r="Y30" i="1"/>
  <c r="H70" i="1"/>
  <c r="F29" i="1"/>
  <c r="X29" i="1" s="1"/>
  <c r="Y29" i="1" s="1"/>
  <c r="I29" i="1"/>
  <c r="N70" i="1"/>
  <c r="J84" i="1" s="1"/>
  <c r="W28" i="1"/>
  <c r="Y27" i="1"/>
  <c r="Y26" i="1"/>
  <c r="F25" i="1"/>
  <c r="X25" i="1" s="1"/>
  <c r="Y25" i="1" s="1"/>
  <c r="F24" i="1"/>
  <c r="X24" i="1" s="1"/>
  <c r="Y24" i="1" s="1"/>
  <c r="W23" i="1"/>
  <c r="O70" i="1"/>
  <c r="J85" i="1" s="1"/>
  <c r="F23" i="1"/>
  <c r="X23" i="1" s="1"/>
  <c r="Y22" i="1"/>
  <c r="Y21" i="1"/>
  <c r="I20" i="1"/>
  <c r="F20" i="1"/>
  <c r="X20" i="1" s="1"/>
  <c r="Y20" i="1" s="1"/>
  <c r="I19" i="1"/>
  <c r="F19" i="1"/>
  <c r="X19" i="1" s="1"/>
  <c r="Y19" i="1" s="1"/>
  <c r="J70" i="1"/>
  <c r="W18" i="1"/>
  <c r="I18" i="1"/>
  <c r="F18" i="1"/>
  <c r="X18" i="1" s="1"/>
  <c r="F17" i="1"/>
  <c r="X17" i="1" s="1"/>
  <c r="Y17" i="1" s="1"/>
  <c r="I17" i="1"/>
  <c r="Y16" i="1"/>
  <c r="I15" i="1"/>
  <c r="F15" i="1"/>
  <c r="X15" i="1" s="1"/>
  <c r="Y15" i="1" s="1"/>
  <c r="F14" i="1"/>
  <c r="X14" i="1" s="1"/>
  <c r="Y14" i="1" s="1"/>
  <c r="I14" i="1"/>
  <c r="I13" i="1"/>
  <c r="F13" i="1"/>
  <c r="X13" i="1" s="1"/>
  <c r="Y13" i="1" s="1"/>
  <c r="F12" i="1"/>
  <c r="X12" i="1" s="1"/>
  <c r="Y12" i="1" s="1"/>
  <c r="I12" i="1"/>
  <c r="W11" i="1"/>
  <c r="L70" i="1"/>
  <c r="J81" i="1" s="1"/>
  <c r="I10" i="1"/>
  <c r="F10" i="1"/>
  <c r="X10" i="1" s="1"/>
  <c r="Y10" i="1" s="1"/>
  <c r="I9" i="1"/>
  <c r="F9" i="1"/>
  <c r="X9" i="1" s="1"/>
  <c r="Y9" i="1" s="1"/>
  <c r="Q70" i="1"/>
  <c r="J87" i="1" s="1"/>
  <c r="W8" i="1"/>
  <c r="F8" i="1"/>
  <c r="X8" i="1" s="1"/>
  <c r="I8" i="1"/>
  <c r="I7" i="1"/>
  <c r="F7" i="1"/>
  <c r="X7" i="1" s="1"/>
  <c r="Y7" i="1" s="1"/>
  <c r="Y6" i="1"/>
  <c r="I6" i="1"/>
  <c r="G70" i="1"/>
  <c r="W70" i="1"/>
  <c r="F5" i="1"/>
  <c r="I70" i="1" l="1"/>
  <c r="E3" i="1"/>
  <c r="F52" i="1"/>
  <c r="X52" i="1" s="1"/>
  <c r="Y52" i="1" s="1"/>
  <c r="Y28" i="1"/>
  <c r="Y23" i="1"/>
  <c r="J71" i="1"/>
  <c r="J75" i="1" s="1"/>
  <c r="J79" i="1"/>
  <c r="J89" i="1" s="1"/>
  <c r="J91" i="1" s="1"/>
  <c r="M91" i="1" s="1"/>
  <c r="Y18" i="1"/>
  <c r="Y11" i="1"/>
  <c r="Y8" i="1"/>
  <c r="I3" i="1"/>
  <c r="F3" i="1"/>
  <c r="X5" i="1"/>
  <c r="F70" i="1"/>
  <c r="AD10" i="1" l="1"/>
  <c r="Y5" i="1"/>
  <c r="X70" i="1"/>
  <c r="Y70" i="1" l="1"/>
</calcChain>
</file>

<file path=xl/sharedStrings.xml><?xml version="1.0" encoding="utf-8"?>
<sst xmlns="http://schemas.openxmlformats.org/spreadsheetml/2006/main" count="251" uniqueCount="177">
  <si>
    <t>Summary of Old &amp; New PO Balance, &amp;
FY25-26  Billing Details</t>
  </si>
  <si>
    <t>Billing Details (FY_2025-26)                                                                             Reporting date:30-11-2025</t>
  </si>
  <si>
    <t xml:space="preserve"> Total&gt;</t>
  </si>
  <si>
    <t>Billing 
Month</t>
  </si>
  <si>
    <t>Billing
 Month</t>
  </si>
  <si>
    <t>Credit 
Note</t>
  </si>
  <si>
    <t>Total Billing 
(F.Y.25-25)
till 30-11-2025</t>
  </si>
  <si>
    <t>Bill in FY-24-25</t>
  </si>
  <si>
    <t>FY 24-25 &amp; 25-26</t>
  </si>
  <si>
    <t>-</t>
  </si>
  <si>
    <t>Report till 29-10-2025.</t>
  </si>
  <si>
    <t>Sr.No.</t>
  </si>
  <si>
    <t>Cleint's Name</t>
  </si>
  <si>
    <t>PO Number</t>
  </si>
  <si>
    <t>PO Date
will be fill</t>
  </si>
  <si>
    <t>PO Value</t>
  </si>
  <si>
    <t>Bill till
FY-24-25</t>
  </si>
  <si>
    <t xml:space="preserve">OLD PO 
Balance </t>
  </si>
  <si>
    <t>PO Value 
(25-26)</t>
  </si>
  <si>
    <t>Total PO Value
in hand</t>
  </si>
  <si>
    <t xml:space="preserve">Apr'2025
</t>
  </si>
  <si>
    <t xml:space="preserve">May'2025
</t>
  </si>
  <si>
    <t>Jun'2025</t>
  </si>
  <si>
    <t xml:space="preserve">Jul'2025
</t>
  </si>
  <si>
    <t xml:space="preserve">Aug'2025
</t>
  </si>
  <si>
    <t>Sep'2025</t>
  </si>
  <si>
    <t>Oct'2025</t>
  </si>
  <si>
    <t>Nov'2025</t>
  </si>
  <si>
    <t>Jul'2025</t>
  </si>
  <si>
    <t>Aug'2025</t>
  </si>
  <si>
    <t>Total Billing_as of now
after less 
Credit Note</t>
  </si>
  <si>
    <t>Apr'24 to Mar'25</t>
  </si>
  <si>
    <t>Total Billing</t>
  </si>
  <si>
    <t>Billing Type</t>
  </si>
  <si>
    <t>Project Head 
Name</t>
  </si>
  <si>
    <t>Remarks</t>
  </si>
  <si>
    <t>Angel Hyaat</t>
  </si>
  <si>
    <t>Satish Ji</t>
  </si>
  <si>
    <t>Krihsna Aiims</t>
  </si>
  <si>
    <t>Trump Tower</t>
  </si>
  <si>
    <t>Mahipal</t>
  </si>
  <si>
    <t>SCO-113 Lekh</t>
  </si>
  <si>
    <t>M3M R&amp; R</t>
  </si>
  <si>
    <t>M3M-Panipat-Old</t>
  </si>
  <si>
    <t>Blue Star-AB Mauri</t>
  </si>
  <si>
    <t>Satish</t>
  </si>
  <si>
    <t>M3M JEWEL -
Music System</t>
  </si>
  <si>
    <t>M3M -Paragon -
Music System</t>
  </si>
  <si>
    <t>M3M -Jewel Security
 System</t>
  </si>
  <si>
    <t>Lekh/Jewel 25/Security System and Access Control Work/LOA/2025/26</t>
  </si>
  <si>
    <t>Supply</t>
  </si>
  <si>
    <t>RA-01st Invoice to be raise</t>
  </si>
  <si>
    <t>M3M -Paragon-57
 Security System</t>
  </si>
  <si>
    <t>Paryapt/Paragon-57/Security System and Access Control Work/LOA/2025/81</t>
  </si>
  <si>
    <t>M3M -Corner Walk-Prompt-CCTV</t>
  </si>
  <si>
    <t>Prompt/Corner Walk/SITC/of CCTV Work for Loft Area/LOA/2024/343</t>
  </si>
  <si>
    <t>Mr Pooran</t>
  </si>
  <si>
    <t>Labotek GGIPU</t>
  </si>
  <si>
    <t>Mr Prakash</t>
  </si>
  <si>
    <t>Power House Jhajjar</t>
  </si>
  <si>
    <t>Ashu</t>
  </si>
  <si>
    <t>Completed
"The payment is still pending</t>
  </si>
  <si>
    <t>SPG-ITO Mumbai-ELV</t>
  </si>
  <si>
    <t>Satish Ji &amp; Vijay</t>
  </si>
  <si>
    <t>Invoice to be raise</t>
  </si>
  <si>
    <t>SPG-ITO Mumbai-BMS</t>
  </si>
  <si>
    <t>Satish Ji &amp; Pooran</t>
  </si>
  <si>
    <t>MRC-Jammu</t>
  </si>
  <si>
    <t>Invoice raised.</t>
  </si>
  <si>
    <t>RFL-AMC-Q4</t>
  </si>
  <si>
    <t>Sayed &amp; Sandeep</t>
  </si>
  <si>
    <t>PO Completed</t>
  </si>
  <si>
    <t>AL SOFTWEB - Grandthum_CCTV
Bhutani Group</t>
  </si>
  <si>
    <t>Pooran Ji</t>
  </si>
  <si>
    <t>RA-05th is done Invoice to be raise</t>
  </si>
  <si>
    <t>RIC-Eco Park</t>
  </si>
  <si>
    <t>PI Raises</t>
  </si>
  <si>
    <t>SPG-Hanumnagarh</t>
  </si>
  <si>
    <t>Completed</t>
  </si>
  <si>
    <t>NCDC-Dyna Filters-ELV</t>
  </si>
  <si>
    <t>NCDC-Dyna Filters-BMS</t>
  </si>
  <si>
    <t>Max Saket-Delhi-
BMS-Hitachi</t>
  </si>
  <si>
    <t>Ajay Chauhan
Ravinder Sharama</t>
  </si>
  <si>
    <t>RA02nd Done Invocie to be raise</t>
  </si>
  <si>
    <t>Max-Mohali-
Acces Control Ahluwalia</t>
  </si>
  <si>
    <t>RA5th_ Done Invocie to be raise</t>
  </si>
  <si>
    <t>Max-Mohali-BMS-Hitachi</t>
  </si>
  <si>
    <t>Central Park-Old</t>
  </si>
  <si>
    <t>Nestle AMC for 2 Site
Patna &amp; Serampore</t>
  </si>
  <si>
    <t>Sandeep Kaur</t>
  </si>
  <si>
    <t>SES Pending 
Cancelled this PO</t>
  </si>
  <si>
    <t>Hari Electric Work</t>
  </si>
  <si>
    <t>Nestle Bhiwandi</t>
  </si>
  <si>
    <t>Nestle Ponda-Goa</t>
  </si>
  <si>
    <t xml:space="preserve">Leighton Contactors </t>
  </si>
  <si>
    <t>HSS</t>
  </si>
  <si>
    <t>Angel-Ramai-Haryana</t>
  </si>
  <si>
    <t>Against V9's Quote</t>
  </si>
  <si>
    <t>Sanjay</t>
  </si>
  <si>
    <t xml:space="preserve">Embrace Infrasys </t>
  </si>
  <si>
    <t>EIPL-PO-252606</t>
  </si>
  <si>
    <t>Grandthum-Access Control</t>
  </si>
  <si>
    <t>ALSPL/V9/SB/25-
26/WO/-8</t>
  </si>
  <si>
    <t>DPS School</t>
  </si>
  <si>
    <t>PI Prepare Bill to be raise on Jul'25
MB Verifcation is pending from Pooran</t>
  </si>
  <si>
    <t>Marada-Nestle  
Serampore-Service Call</t>
  </si>
  <si>
    <t>GVD-Switch Billing</t>
  </si>
  <si>
    <t>STERLING-Max Gurgaon</t>
  </si>
  <si>
    <t>Nestle Raipur-
Paid Service</t>
  </si>
  <si>
    <t>Nestle Kheda-Paid</t>
  </si>
  <si>
    <t>Nestle (Ganaur)</t>
  </si>
  <si>
    <t>Avl India Pvt ltd</t>
  </si>
  <si>
    <t>Olive karoke</t>
  </si>
  <si>
    <t>Music System</t>
  </si>
  <si>
    <t>Nipl Panipat</t>
  </si>
  <si>
    <t>UTTIRNA/PANIPAT PH-2/SITC Of Automatic BoomBarrier/LOA/2025/68</t>
  </si>
  <si>
    <t>Ra done Materil to be deliver</t>
  </si>
  <si>
    <t>Pixel Info</t>
  </si>
  <si>
    <t>Return</t>
  </si>
  <si>
    <t>Done</t>
  </si>
  <si>
    <t>Crystaltown_New</t>
  </si>
  <si>
    <t>2000003682, Date:21-08-2025</t>
  </si>
  <si>
    <t>RELAXO RFL-6 (Service)</t>
  </si>
  <si>
    <t>RELAXO RFL- 9 (Service)</t>
  </si>
  <si>
    <t>RELAXO  RFL - 9 (Supply)</t>
  </si>
  <si>
    <t>RELAXO -MD House RK Dua</t>
  </si>
  <si>
    <t>RELAXO RFL-6 (Supply)</t>
  </si>
  <si>
    <t>OMAXE (Hazratganj-Lacknow)</t>
  </si>
  <si>
    <t>OML/R5L/11011203477</t>
  </si>
  <si>
    <t>PSM ENTERPRISES</t>
  </si>
  <si>
    <t>PSM/BMS/AMRT/25-26/001</t>
  </si>
  <si>
    <t>RELAXO -AMC</t>
  </si>
  <si>
    <t>OMAXE  (Bahadur Garh)</t>
  </si>
  <si>
    <t>OMAXE  (Chandigarh-Isabela)</t>
  </si>
  <si>
    <t>OMAXE  (Chandigarh-Emred-C)</t>
  </si>
  <si>
    <t>Nipl Panipat-CCTV</t>
  </si>
  <si>
    <t>Final</t>
  </si>
  <si>
    <t>Vishal Infra-November</t>
  </si>
  <si>
    <t>Vishal Infra-Oscar</t>
  </si>
  <si>
    <t>SPG-ITO-Control Module</t>
  </si>
  <si>
    <t>Grand Total</t>
  </si>
  <si>
    <t>Total Billing Booked on Tally till 30-11-2025.</t>
  </si>
  <si>
    <t>Less: Credit Note</t>
  </si>
  <si>
    <t>As per Tally and Working Matched, this is Final Sales
Till-30-11-25</t>
  </si>
  <si>
    <t>Final Month Wise Billing details
as per Tally Acts.</t>
  </si>
  <si>
    <t>Month</t>
  </si>
  <si>
    <t>amount</t>
  </si>
  <si>
    <t>Apr'25
Tally billing amt</t>
  </si>
  <si>
    <t>Tally Matched
as per Cal sheet</t>
  </si>
  <si>
    <t>May'25
Tally billing amt</t>
  </si>
  <si>
    <t>Jun'25-Delhi
Tally billing amt
Till 26-06-25</t>
  </si>
  <si>
    <t>June Total-6730463</t>
  </si>
  <si>
    <t>UP-Tally-Jun</t>
  </si>
  <si>
    <t>Add Embrace in UP Branches
rs.125000/-</t>
  </si>
  <si>
    <t>Nilp</t>
  </si>
  <si>
    <t>Jul'25
Tally billing amt</t>
  </si>
  <si>
    <t>Admin Po Value</t>
  </si>
  <si>
    <t>Aug'25-till 20-08-25
Tally billing amt</t>
  </si>
  <si>
    <t>Sep'25-till 30-09-25
Tally billing amt</t>
  </si>
  <si>
    <t>Oct'25-till 31.-10-25
Tally billing amt</t>
  </si>
  <si>
    <t>Oct'25-till 30-11-25
Tally billing amt</t>
  </si>
  <si>
    <t>Less</t>
  </si>
  <si>
    <t>Finla</t>
  </si>
  <si>
    <t>Total</t>
  </si>
  <si>
    <t>Tally matched
 as Cal. sheet</t>
  </si>
  <si>
    <t>Less Credit Note 
on Nov'25</t>
  </si>
  <si>
    <t>Up Tally</t>
  </si>
  <si>
    <t>Delhi Tally</t>
  </si>
  <si>
    <t>Final Sales</t>
  </si>
  <si>
    <t>till Nov_ tally Matched 
as on 30-11-25</t>
  </si>
  <si>
    <t>Matched-30-11-25</t>
  </si>
  <si>
    <t>Non Po</t>
  </si>
  <si>
    <t>Summary</t>
  </si>
  <si>
    <t>Installation (MB) billing as on 30-11-25
for party Wise
FY-25-26</t>
  </si>
  <si>
    <t>Total Value of MB</t>
  </si>
  <si>
    <t>Total Value of Supply</t>
  </si>
  <si>
    <t>Total Billing 
as of now-30-11-25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</si>
</sst>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000000"/>
      <name val="Calibri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3" fontId="4" fillId="3" borderId="4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4" fillId="5" borderId="4" xfId="1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164" fontId="8" fillId="0" borderId="8" xfId="1" applyNumberFormat="1" applyFont="1" applyBorder="1"/>
    <xf numFmtId="3" fontId="8" fillId="0" borderId="8" xfId="0" applyNumberFormat="1" applyFont="1" applyBorder="1"/>
    <xf numFmtId="164" fontId="3" fillId="0" borderId="8" xfId="1" applyNumberFormat="1" applyFont="1" applyFill="1" applyBorder="1"/>
    <xf numFmtId="3" fontId="8" fillId="0" borderId="9" xfId="0" applyNumberFormat="1" applyFont="1" applyBorder="1"/>
    <xf numFmtId="43" fontId="8" fillId="0" borderId="10" xfId="1" applyFont="1" applyFill="1" applyBorder="1"/>
    <xf numFmtId="43" fontId="3" fillId="4" borderId="10" xfId="1" applyFont="1" applyFill="1" applyBorder="1"/>
    <xf numFmtId="43" fontId="8" fillId="6" borderId="10" xfId="1" applyFont="1" applyFill="1" applyBorder="1"/>
    <xf numFmtId="3" fontId="6" fillId="0" borderId="8" xfId="0" applyNumberFormat="1" applyFont="1" applyBorder="1"/>
    <xf numFmtId="0" fontId="6" fillId="0" borderId="8" xfId="0" applyFont="1" applyBorder="1"/>
    <xf numFmtId="0" fontId="8" fillId="0" borderId="11" xfId="0" applyFont="1" applyBorder="1"/>
    <xf numFmtId="0" fontId="8" fillId="0" borderId="12" xfId="0" applyFont="1" applyBorder="1"/>
    <xf numFmtId="3" fontId="8" fillId="0" borderId="12" xfId="0" applyNumberFormat="1" applyFont="1" applyBorder="1"/>
    <xf numFmtId="3" fontId="8" fillId="0" borderId="13" xfId="0" applyNumberFormat="1" applyFont="1" applyBorder="1"/>
    <xf numFmtId="43" fontId="8" fillId="0" borderId="14" xfId="1" applyFont="1" applyFill="1" applyBorder="1"/>
    <xf numFmtId="3" fontId="6" fillId="0" borderId="12" xfId="0" applyNumberFormat="1" applyFont="1" applyBorder="1"/>
    <xf numFmtId="0" fontId="6" fillId="0" borderId="12" xfId="0" applyFont="1" applyBorder="1"/>
    <xf numFmtId="164" fontId="3" fillId="4" borderId="10" xfId="1" applyNumberFormat="1" applyFont="1" applyFill="1" applyBorder="1"/>
    <xf numFmtId="43" fontId="3" fillId="0" borderId="10" xfId="1" applyFont="1" applyFill="1" applyBorder="1"/>
    <xf numFmtId="43" fontId="9" fillId="6" borderId="10" xfId="1" applyFont="1" applyFill="1" applyBorder="1"/>
    <xf numFmtId="43" fontId="0" fillId="0" borderId="0" xfId="0" applyNumberFormat="1"/>
    <xf numFmtId="0" fontId="3" fillId="0" borderId="12" xfId="0" applyFont="1" applyBorder="1"/>
    <xf numFmtId="43" fontId="3" fillId="6" borderId="10" xfId="1" applyFont="1" applyFill="1" applyBorder="1"/>
    <xf numFmtId="3" fontId="4" fillId="0" borderId="12" xfId="0" applyNumberFormat="1" applyFont="1" applyBorder="1"/>
    <xf numFmtId="0" fontId="4" fillId="0" borderId="12" xfId="0" applyFont="1" applyBorder="1"/>
    <xf numFmtId="0" fontId="2" fillId="0" borderId="0" xfId="0" applyFont="1"/>
    <xf numFmtId="43" fontId="2" fillId="0" borderId="0" xfId="0" applyNumberFormat="1" applyFont="1"/>
    <xf numFmtId="0" fontId="10" fillId="0" borderId="12" xfId="0" applyFont="1" applyBorder="1" applyAlignment="1">
      <alignment wrapText="1"/>
    </xf>
    <xf numFmtId="0" fontId="10" fillId="0" borderId="12" xfId="0" applyFont="1" applyBorder="1"/>
    <xf numFmtId="0" fontId="6" fillId="0" borderId="12" xfId="0" applyFont="1" applyBorder="1" applyAlignment="1">
      <alignment wrapText="1"/>
    </xf>
    <xf numFmtId="43" fontId="8" fillId="0" borderId="12" xfId="1" applyFont="1" applyBorder="1"/>
    <xf numFmtId="0" fontId="3" fillId="0" borderId="11" xfId="0" applyFont="1" applyBorder="1"/>
    <xf numFmtId="3" fontId="4" fillId="2" borderId="12" xfId="0" applyNumberFormat="1" applyFont="1" applyFill="1" applyBorder="1"/>
    <xf numFmtId="0" fontId="4" fillId="2" borderId="12" xfId="0" applyFont="1" applyFill="1" applyBorder="1"/>
    <xf numFmtId="0" fontId="8" fillId="4" borderId="12" xfId="0" applyFont="1" applyFill="1" applyBorder="1"/>
    <xf numFmtId="164" fontId="8" fillId="4" borderId="8" xfId="1" applyNumberFormat="1" applyFont="1" applyFill="1" applyBorder="1"/>
    <xf numFmtId="3" fontId="8" fillId="4" borderId="12" xfId="0" applyNumberFormat="1" applyFont="1" applyFill="1" applyBorder="1"/>
    <xf numFmtId="164" fontId="3" fillId="4" borderId="8" xfId="1" applyNumberFormat="1" applyFont="1" applyFill="1" applyBorder="1"/>
    <xf numFmtId="3" fontId="8" fillId="4" borderId="13" xfId="0" applyNumberFormat="1" applyFont="1" applyFill="1" applyBorder="1"/>
    <xf numFmtId="43" fontId="3" fillId="4" borderId="14" xfId="1" applyFont="1" applyFill="1" applyBorder="1"/>
    <xf numFmtId="43" fontId="8" fillId="4" borderId="10" xfId="1" applyFont="1" applyFill="1" applyBorder="1"/>
    <xf numFmtId="3" fontId="6" fillId="8" borderId="12" xfId="0" applyNumberFormat="1" applyFont="1" applyFill="1" applyBorder="1"/>
    <xf numFmtId="0" fontId="6" fillId="8" borderId="12" xfId="0" applyFont="1" applyFill="1" applyBorder="1" applyAlignment="1">
      <alignment wrapText="1"/>
    </xf>
    <xf numFmtId="3" fontId="3" fillId="0" borderId="8" xfId="0" applyNumberFormat="1" applyFont="1" applyBorder="1"/>
    <xf numFmtId="3" fontId="3" fillId="4" borderId="10" xfId="0" applyNumberFormat="1" applyFont="1" applyFill="1" applyBorder="1"/>
    <xf numFmtId="3" fontId="3" fillId="0" borderId="10" xfId="0" applyNumberFormat="1" applyFont="1" applyBorder="1"/>
    <xf numFmtId="3" fontId="3" fillId="6" borderId="10" xfId="0" applyNumberFormat="1" applyFont="1" applyFill="1" applyBorder="1"/>
    <xf numFmtId="164" fontId="3" fillId="0" borderId="12" xfId="1" applyNumberFormat="1" applyFont="1" applyFill="1" applyBorder="1"/>
    <xf numFmtId="0" fontId="4" fillId="0" borderId="12" xfId="0" applyFont="1" applyBorder="1" applyAlignment="1">
      <alignment wrapText="1"/>
    </xf>
    <xf numFmtId="43" fontId="3" fillId="0" borderId="14" xfId="1" applyFont="1" applyFill="1" applyBorder="1"/>
    <xf numFmtId="0" fontId="3" fillId="0" borderId="7" xfId="0" applyFont="1" applyBorder="1"/>
    <xf numFmtId="3" fontId="4" fillId="8" borderId="12" xfId="0" applyNumberFormat="1" applyFont="1" applyFill="1" applyBorder="1"/>
    <xf numFmtId="0" fontId="4" fillId="8" borderId="12" xfId="0" applyFont="1" applyFill="1" applyBorder="1"/>
    <xf numFmtId="0" fontId="8" fillId="0" borderId="12" xfId="0" applyFont="1" applyBorder="1" applyAlignment="1">
      <alignment wrapText="1"/>
    </xf>
    <xf numFmtId="164" fontId="8" fillId="0" borderId="8" xfId="1" applyNumberFormat="1" applyFont="1" applyFill="1" applyBorder="1"/>
    <xf numFmtId="164" fontId="3" fillId="0" borderId="10" xfId="1" applyNumberFormat="1" applyFont="1" applyFill="1" applyBorder="1"/>
    <xf numFmtId="164" fontId="3" fillId="6" borderId="10" xfId="1" applyNumberFormat="1" applyFont="1" applyFill="1" applyBorder="1"/>
    <xf numFmtId="164" fontId="8" fillId="0" borderId="10" xfId="1" applyNumberFormat="1" applyFont="1" applyFill="1" applyBorder="1"/>
    <xf numFmtId="3" fontId="6" fillId="9" borderId="12" xfId="0" applyNumberFormat="1" applyFont="1" applyFill="1" applyBorder="1"/>
    <xf numFmtId="0" fontId="6" fillId="9" borderId="12" xfId="0" applyFont="1" applyFill="1" applyBorder="1"/>
    <xf numFmtId="0" fontId="0" fillId="0" borderId="0" xfId="0" applyAlignment="1">
      <alignment horizontal="center"/>
    </xf>
    <xf numFmtId="43" fontId="3" fillId="0" borderId="12" xfId="1" applyFont="1" applyFill="1" applyBorder="1"/>
    <xf numFmtId="164" fontId="3" fillId="0" borderId="12" xfId="1" applyNumberFormat="1" applyFont="1" applyFill="1" applyBorder="1" applyAlignment="1">
      <alignment horizontal="right"/>
    </xf>
    <xf numFmtId="164" fontId="9" fillId="6" borderId="10" xfId="1" applyNumberFormat="1" applyFont="1" applyFill="1" applyBorder="1"/>
    <xf numFmtId="3" fontId="4" fillId="0" borderId="12" xfId="0" applyNumberFormat="1" applyFont="1" applyBorder="1" applyAlignment="1">
      <alignment wrapText="1"/>
    </xf>
    <xf numFmtId="43" fontId="0" fillId="0" borderId="0" xfId="1" applyFont="1"/>
    <xf numFmtId="43" fontId="8" fillId="0" borderId="12" xfId="1" applyFont="1" applyFill="1" applyBorder="1"/>
    <xf numFmtId="0" fontId="11" fillId="7" borderId="7" xfId="0" applyFont="1" applyFill="1" applyBorder="1" applyAlignment="1">
      <alignment vertical="center"/>
    </xf>
    <xf numFmtId="0" fontId="11" fillId="10" borderId="12" xfId="0" applyFont="1" applyFill="1" applyBorder="1" applyAlignment="1">
      <alignment vertical="center" wrapText="1"/>
    </xf>
    <xf numFmtId="0" fontId="11" fillId="10" borderId="12" xfId="0" applyFont="1" applyFill="1" applyBorder="1" applyAlignment="1">
      <alignment vertical="center"/>
    </xf>
    <xf numFmtId="164" fontId="8" fillId="10" borderId="8" xfId="1" applyNumberFormat="1" applyFont="1" applyFill="1" applyBorder="1"/>
    <xf numFmtId="43" fontId="11" fillId="10" borderId="12" xfId="1" applyFont="1" applyFill="1" applyBorder="1" applyAlignment="1">
      <alignment vertical="center"/>
    </xf>
    <xf numFmtId="164" fontId="11" fillId="10" borderId="12" xfId="1" applyNumberFormat="1" applyFont="1" applyFill="1" applyBorder="1" applyAlignment="1">
      <alignment horizontal="right" vertical="center"/>
    </xf>
    <xf numFmtId="3" fontId="11" fillId="10" borderId="13" xfId="0" applyNumberFormat="1" applyFont="1" applyFill="1" applyBorder="1" applyAlignment="1">
      <alignment vertical="center"/>
    </xf>
    <xf numFmtId="43" fontId="11" fillId="10" borderId="14" xfId="1" applyFont="1" applyFill="1" applyBorder="1" applyAlignment="1">
      <alignment vertical="center"/>
    </xf>
    <xf numFmtId="43" fontId="11" fillId="10" borderId="10" xfId="1" applyFont="1" applyFill="1" applyBorder="1" applyAlignment="1">
      <alignment vertical="center"/>
    </xf>
    <xf numFmtId="43" fontId="12" fillId="10" borderId="10" xfId="1" applyFont="1" applyFill="1" applyBorder="1" applyAlignment="1">
      <alignment vertical="center"/>
    </xf>
    <xf numFmtId="43" fontId="8" fillId="10" borderId="10" xfId="1" applyFont="1" applyFill="1" applyBorder="1"/>
    <xf numFmtId="3" fontId="13" fillId="10" borderId="12" xfId="0" applyNumberFormat="1" applyFont="1" applyFill="1" applyBorder="1" applyAlignment="1">
      <alignment vertical="center"/>
    </xf>
    <xf numFmtId="0" fontId="13" fillId="10" borderId="12" xfId="0" applyFont="1" applyFill="1" applyBorder="1" applyAlignment="1">
      <alignment vertical="center" wrapText="1"/>
    </xf>
    <xf numFmtId="0" fontId="14" fillId="7" borderId="0" xfId="0" applyFont="1" applyFill="1"/>
    <xf numFmtId="0" fontId="11" fillId="0" borderId="7" xfId="0" applyFont="1" applyBorder="1" applyAlignment="1">
      <alignment vertical="center"/>
    </xf>
    <xf numFmtId="0" fontId="11" fillId="0" borderId="12" xfId="0" applyFont="1" applyBorder="1"/>
    <xf numFmtId="0" fontId="11" fillId="0" borderId="12" xfId="0" applyFont="1" applyBorder="1" applyAlignment="1">
      <alignment vertical="center"/>
    </xf>
    <xf numFmtId="43" fontId="11" fillId="0" borderId="12" xfId="1" applyFont="1" applyFill="1" applyBorder="1" applyAlignment="1">
      <alignment vertical="center"/>
    </xf>
    <xf numFmtId="164" fontId="12" fillId="0" borderId="12" xfId="1" applyNumberFormat="1" applyFont="1" applyFill="1" applyBorder="1" applyAlignment="1">
      <alignment horizontal="right" vertical="center"/>
    </xf>
    <xf numFmtId="3" fontId="11" fillId="0" borderId="13" xfId="0" applyNumberFormat="1" applyFont="1" applyBorder="1" applyAlignment="1">
      <alignment vertical="center"/>
    </xf>
    <xf numFmtId="43" fontId="11" fillId="0" borderId="14" xfId="1" applyFont="1" applyFill="1" applyBorder="1" applyAlignment="1">
      <alignment vertical="center"/>
    </xf>
    <xf numFmtId="43" fontId="11" fillId="0" borderId="10" xfId="1" applyFont="1" applyFill="1" applyBorder="1" applyAlignment="1">
      <alignment vertical="center"/>
    </xf>
    <xf numFmtId="43" fontId="12" fillId="4" borderId="10" xfId="1" applyFont="1" applyFill="1" applyBorder="1" applyAlignment="1">
      <alignment vertical="center"/>
    </xf>
    <xf numFmtId="43" fontId="11" fillId="6" borderId="10" xfId="1" applyFont="1" applyFill="1" applyBorder="1" applyAlignment="1">
      <alignment vertical="center"/>
    </xf>
    <xf numFmtId="3" fontId="13" fillId="9" borderId="12" xfId="0" applyNumberFormat="1" applyFont="1" applyFill="1" applyBorder="1" applyAlignment="1">
      <alignment vertical="center"/>
    </xf>
    <xf numFmtId="0" fontId="13" fillId="9" borderId="12" xfId="0" applyFont="1" applyFill="1" applyBorder="1" applyAlignment="1">
      <alignment vertical="center" wrapText="1"/>
    </xf>
    <xf numFmtId="0" fontId="14" fillId="0" borderId="0" xfId="0" applyFont="1"/>
    <xf numFmtId="43" fontId="14" fillId="0" borderId="0" xfId="0" applyNumberFormat="1" applyFont="1"/>
    <xf numFmtId="0" fontId="6" fillId="8" borderId="12" xfId="0" applyFont="1" applyFill="1" applyBorder="1"/>
    <xf numFmtId="3" fontId="8" fillId="0" borderId="15" xfId="0" applyNumberFormat="1" applyFont="1" applyBorder="1"/>
    <xf numFmtId="43" fontId="8" fillId="0" borderId="8" xfId="1" applyFont="1" applyFill="1" applyBorder="1"/>
    <xf numFmtId="0" fontId="8" fillId="0" borderId="16" xfId="0" applyFont="1" applyBorder="1"/>
    <xf numFmtId="0" fontId="8" fillId="0" borderId="17" xfId="0" applyFont="1" applyBorder="1"/>
    <xf numFmtId="43" fontId="8" fillId="0" borderId="17" xfId="1" applyFont="1" applyFill="1" applyBorder="1"/>
    <xf numFmtId="164" fontId="3" fillId="0" borderId="17" xfId="1" applyNumberFormat="1" applyFont="1" applyFill="1" applyBorder="1"/>
    <xf numFmtId="43" fontId="3" fillId="0" borderId="17" xfId="1" applyFont="1" applyFill="1" applyBorder="1"/>
    <xf numFmtId="43" fontId="8" fillId="0" borderId="18" xfId="1" applyFont="1" applyFill="1" applyBorder="1"/>
    <xf numFmtId="43" fontId="3" fillId="0" borderId="18" xfId="1" applyFont="1" applyFill="1" applyBorder="1"/>
    <xf numFmtId="43" fontId="3" fillId="4" borderId="19" xfId="1" applyFont="1" applyFill="1" applyBorder="1"/>
    <xf numFmtId="43" fontId="3" fillId="0" borderId="19" xfId="1" applyFont="1" applyFill="1" applyBorder="1"/>
    <xf numFmtId="43" fontId="3" fillId="6" borderId="19" xfId="1" applyFont="1" applyFill="1" applyBorder="1"/>
    <xf numFmtId="3" fontId="4" fillId="9" borderId="17" xfId="0" applyNumberFormat="1" applyFont="1" applyFill="1" applyBorder="1"/>
    <xf numFmtId="0" fontId="4" fillId="9" borderId="17" xfId="0" applyFont="1" applyFill="1" applyBorder="1"/>
    <xf numFmtId="43" fontId="3" fillId="4" borderId="12" xfId="1" applyFont="1" applyFill="1" applyBorder="1"/>
    <xf numFmtId="164" fontId="3" fillId="4" borderId="12" xfId="1" applyNumberFormat="1" applyFont="1" applyFill="1" applyBorder="1"/>
    <xf numFmtId="3" fontId="3" fillId="4" borderId="12" xfId="0" applyNumberFormat="1" applyFont="1" applyFill="1" applyBorder="1"/>
    <xf numFmtId="43" fontId="8" fillId="4" borderId="8" xfId="1" applyFont="1" applyFill="1" applyBorder="1"/>
    <xf numFmtId="43" fontId="3" fillId="4" borderId="8" xfId="1" applyFont="1" applyFill="1" applyBorder="1"/>
    <xf numFmtId="3" fontId="4" fillId="4" borderId="12" xfId="0" applyNumberFormat="1" applyFont="1" applyFill="1" applyBorder="1"/>
    <xf numFmtId="0" fontId="4" fillId="4" borderId="12" xfId="0" applyFont="1" applyFill="1" applyBorder="1"/>
    <xf numFmtId="0" fontId="8" fillId="0" borderId="17" xfId="0" applyFont="1" applyBorder="1" applyAlignment="1">
      <alignment wrapText="1"/>
    </xf>
    <xf numFmtId="3" fontId="8" fillId="0" borderId="17" xfId="0" applyNumberFormat="1" applyFont="1" applyBorder="1"/>
    <xf numFmtId="3" fontId="6" fillId="0" borderId="17" xfId="0" applyNumberFormat="1" applyFont="1" applyBorder="1"/>
    <xf numFmtId="0" fontId="6" fillId="0" borderId="17" xfId="0" applyFont="1" applyBorder="1"/>
    <xf numFmtId="43" fontId="3" fillId="0" borderId="8" xfId="1" applyFont="1" applyFill="1" applyBorder="1"/>
    <xf numFmtId="0" fontId="15" fillId="0" borderId="12" xfId="0" applyFont="1" applyBorder="1"/>
    <xf numFmtId="164" fontId="15" fillId="0" borderId="12" xfId="1" applyNumberFormat="1" applyFont="1" applyFill="1" applyBorder="1"/>
    <xf numFmtId="0" fontId="3" fillId="0" borderId="12" xfId="0" applyFont="1" applyBorder="1" applyAlignment="1">
      <alignment wrapText="1"/>
    </xf>
    <xf numFmtId="0" fontId="15" fillId="4" borderId="12" xfId="0" applyFont="1" applyFill="1" applyBorder="1"/>
    <xf numFmtId="43" fontId="8" fillId="4" borderId="12" xfId="1" applyFont="1" applyFill="1" applyBorder="1"/>
    <xf numFmtId="3" fontId="6" fillId="4" borderId="12" xfId="0" applyNumberFormat="1" applyFont="1" applyFill="1" applyBorder="1"/>
    <xf numFmtId="0" fontId="6" fillId="4" borderId="12" xfId="0" applyFont="1" applyFill="1" applyBorder="1"/>
    <xf numFmtId="0" fontId="15" fillId="0" borderId="12" xfId="0" applyFont="1" applyBorder="1" applyAlignment="1">
      <alignment wrapText="1"/>
    </xf>
    <xf numFmtId="0" fontId="3" fillId="4" borderId="12" xfId="0" applyFont="1" applyFill="1" applyBorder="1"/>
    <xf numFmtId="0" fontId="15" fillId="4" borderId="12" xfId="0" applyFont="1" applyFill="1" applyBorder="1" applyAlignment="1">
      <alignment wrapText="1"/>
    </xf>
    <xf numFmtId="0" fontId="3" fillId="4" borderId="12" xfId="0" applyFont="1" applyFill="1" applyBorder="1" applyAlignment="1">
      <alignment wrapText="1"/>
    </xf>
    <xf numFmtId="43" fontId="9" fillId="4" borderId="10" xfId="1" applyFont="1" applyFill="1" applyBorder="1"/>
    <xf numFmtId="0" fontId="15" fillId="0" borderId="12" xfId="0" applyFont="1" applyBorder="1" applyAlignment="1">
      <alignment horizontal="left" wrapText="1"/>
    </xf>
    <xf numFmtId="0" fontId="15" fillId="4" borderId="12" xfId="0" applyFont="1" applyFill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43" fontId="8" fillId="6" borderId="12" xfId="1" applyFont="1" applyFill="1" applyBorder="1"/>
    <xf numFmtId="0" fontId="8" fillId="0" borderId="19" xfId="0" applyFont="1" applyBorder="1"/>
    <xf numFmtId="0" fontId="3" fillId="0" borderId="18" xfId="0" applyFont="1" applyBorder="1"/>
    <xf numFmtId="0" fontId="15" fillId="0" borderId="21" xfId="0" applyFont="1" applyBorder="1" applyAlignment="1">
      <alignment horizontal="left" wrapText="1"/>
    </xf>
    <xf numFmtId="43" fontId="3" fillId="4" borderId="17" xfId="1" applyFont="1" applyFill="1" applyBorder="1"/>
    <xf numFmtId="43" fontId="8" fillId="6" borderId="17" xfId="1" applyFont="1" applyFill="1" applyBorder="1"/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3" fillId="2" borderId="4" xfId="1" applyNumberFormat="1" applyFont="1" applyFill="1" applyBorder="1" applyAlignment="1">
      <alignment vertical="center"/>
    </xf>
    <xf numFmtId="43" fontId="4" fillId="2" borderId="25" xfId="1" applyFont="1" applyFill="1" applyBorder="1" applyAlignment="1">
      <alignment horizontal="center" vertical="center"/>
    </xf>
    <xf numFmtId="43" fontId="4" fillId="2" borderId="26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3" fillId="0" borderId="28" xfId="0" applyFont="1" applyBorder="1" applyAlignment="1">
      <alignment horizontal="right" vertical="center" indent="1"/>
    </xf>
    <xf numFmtId="164" fontId="3" fillId="0" borderId="27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0" fillId="0" borderId="0" xfId="1" applyNumberFormat="1" applyFont="1"/>
    <xf numFmtId="0" fontId="3" fillId="0" borderId="25" xfId="0" applyFont="1" applyBorder="1" applyAlignment="1">
      <alignment horizontal="right" vertical="center" indent="1"/>
    </xf>
    <xf numFmtId="0" fontId="3" fillId="0" borderId="26" xfId="0" applyFont="1" applyBorder="1" applyAlignment="1">
      <alignment horizontal="right" vertical="center" indent="1"/>
    </xf>
    <xf numFmtId="0" fontId="3" fillId="0" borderId="6" xfId="0" applyFont="1" applyBorder="1" applyAlignment="1">
      <alignment horizontal="right" vertical="center" indent="1"/>
    </xf>
    <xf numFmtId="164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 applyBorder="1"/>
    <xf numFmtId="0" fontId="3" fillId="0" borderId="29" xfId="0" applyFont="1" applyBorder="1" applyAlignment="1">
      <alignment horizontal="right" vertical="center" indent="1"/>
    </xf>
    <xf numFmtId="0" fontId="3" fillId="0" borderId="30" xfId="0" applyFont="1" applyBorder="1" applyAlignment="1">
      <alignment horizontal="right" vertical="center" indent="1"/>
    </xf>
    <xf numFmtId="0" fontId="3" fillId="0" borderId="31" xfId="0" applyFont="1" applyBorder="1" applyAlignment="1">
      <alignment horizontal="right" vertical="center" indent="1"/>
    </xf>
    <xf numFmtId="164" fontId="3" fillId="0" borderId="29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43" fontId="0" fillId="0" borderId="0" xfId="1" applyFont="1" applyBorder="1"/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4" fillId="11" borderId="4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0" fillId="0" borderId="28" xfId="0" applyBorder="1"/>
    <xf numFmtId="0" fontId="2" fillId="0" borderId="0" xfId="0" applyFont="1" applyAlignment="1">
      <alignment horizontal="center" vertical="center" wrapText="1"/>
    </xf>
    <xf numFmtId="0" fontId="2" fillId="0" borderId="33" xfId="0" applyFont="1" applyBorder="1"/>
    <xf numFmtId="0" fontId="0" fillId="0" borderId="33" xfId="0" applyBorder="1" applyAlignment="1">
      <alignment wrapText="1"/>
    </xf>
    <xf numFmtId="43" fontId="0" fillId="0" borderId="33" xfId="1" applyFont="1" applyBorder="1"/>
    <xf numFmtId="0" fontId="2" fillId="0" borderId="34" xfId="0" applyFont="1" applyBorder="1"/>
    <xf numFmtId="0" fontId="0" fillId="0" borderId="34" xfId="0" applyBorder="1" applyAlignment="1">
      <alignment wrapText="1"/>
    </xf>
    <xf numFmtId="43" fontId="0" fillId="0" borderId="34" xfId="1" applyFont="1" applyBorder="1"/>
    <xf numFmtId="0" fontId="0" fillId="0" borderId="32" xfId="0" applyBorder="1" applyAlignment="1">
      <alignment horizontal="center"/>
    </xf>
    <xf numFmtId="0" fontId="2" fillId="0" borderId="35" xfId="0" applyFont="1" applyBorder="1"/>
    <xf numFmtId="0" fontId="0" fillId="0" borderId="35" xfId="0" applyBorder="1" applyAlignment="1">
      <alignment wrapText="1"/>
    </xf>
    <xf numFmtId="43" fontId="0" fillId="0" borderId="35" xfId="1" applyFont="1" applyBorder="1"/>
    <xf numFmtId="0" fontId="0" fillId="0" borderId="5" xfId="0" applyBorder="1" applyAlignment="1">
      <alignment horizontal="center"/>
    </xf>
    <xf numFmtId="43" fontId="2" fillId="0" borderId="0" xfId="1" applyFont="1" applyBorder="1"/>
    <xf numFmtId="0" fontId="0" fillId="0" borderId="4" xfId="0" applyBorder="1" applyAlignment="1">
      <alignment wrapText="1"/>
    </xf>
    <xf numFmtId="0" fontId="0" fillId="0" borderId="0" xfId="0" applyAlignment="1">
      <alignment horizontal="center"/>
    </xf>
    <xf numFmtId="43" fontId="0" fillId="0" borderId="4" xfId="1" applyFont="1" applyBorder="1"/>
    <xf numFmtId="0" fontId="0" fillId="0" borderId="32" xfId="0" applyBorder="1" applyAlignment="1">
      <alignment wrapText="1"/>
    </xf>
    <xf numFmtId="0" fontId="2" fillId="0" borderId="36" xfId="0" applyFont="1" applyBorder="1"/>
    <xf numFmtId="0" fontId="0" fillId="0" borderId="18" xfId="0" applyBorder="1" applyAlignment="1">
      <alignment wrapText="1"/>
    </xf>
    <xf numFmtId="43" fontId="0" fillId="0" borderId="18" xfId="1" applyFont="1" applyBorder="1"/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64" fontId="4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8" xfId="0" applyBorder="1" applyAlignment="1">
      <alignment horizontal="left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3" fontId="2" fillId="0" borderId="5" xfId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43" fontId="0" fillId="0" borderId="0" xfId="1" applyFont="1" applyFill="1"/>
    <xf numFmtId="0" fontId="2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43" fontId="0" fillId="0" borderId="0" xfId="1" applyFont="1" applyFill="1" applyBorder="1"/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0" fontId="2" fillId="0" borderId="12" xfId="0" applyFont="1" applyBorder="1" applyAlignment="1">
      <alignment horizontal="center" vertical="center"/>
    </xf>
    <xf numFmtId="9" fontId="2" fillId="0" borderId="0" xfId="0" applyNumberFormat="1" applyFont="1"/>
    <xf numFmtId="43" fontId="1" fillId="0" borderId="0" xfId="1" applyFont="1" applyFill="1"/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43" fontId="8" fillId="12" borderId="10" xfId="1" applyFont="1" applyFill="1" applyBorder="1"/>
    <xf numFmtId="164" fontId="4" fillId="12" borderId="4" xfId="1" applyNumberFormat="1" applyFont="1" applyFill="1" applyBorder="1" applyAlignment="1">
      <alignment horizontal="center" vertical="center"/>
    </xf>
    <xf numFmtId="164" fontId="8" fillId="12" borderId="8" xfId="1" applyNumberFormat="1" applyFont="1" applyFill="1" applyBorder="1"/>
    <xf numFmtId="164" fontId="8" fillId="12" borderId="12" xfId="1" applyNumberFormat="1" applyFont="1" applyFill="1" applyBorder="1"/>
    <xf numFmtId="164" fontId="10" fillId="12" borderId="12" xfId="1" applyNumberFormat="1" applyFont="1" applyFill="1" applyBorder="1"/>
    <xf numFmtId="164" fontId="10" fillId="12" borderId="12" xfId="1" applyNumberFormat="1" applyFont="1" applyFill="1" applyBorder="1" applyAlignment="1">
      <alignment wrapText="1"/>
    </xf>
    <xf numFmtId="164" fontId="11" fillId="12" borderId="12" xfId="1" applyNumberFormat="1" applyFont="1" applyFill="1" applyBorder="1" applyAlignment="1">
      <alignment vertical="center"/>
    </xf>
    <xf numFmtId="164" fontId="8" fillId="12" borderId="17" xfId="1" applyNumberFormat="1" applyFont="1" applyFill="1" applyBorder="1"/>
    <xf numFmtId="164" fontId="16" fillId="12" borderId="12" xfId="1" applyNumberFormat="1" applyFont="1" applyFill="1" applyBorder="1"/>
    <xf numFmtId="164" fontId="16" fillId="12" borderId="12" xfId="1" applyNumberFormat="1" applyFont="1" applyFill="1" applyBorder="1" applyAlignment="1">
      <alignment wrapText="1"/>
    </xf>
    <xf numFmtId="164" fontId="15" fillId="12" borderId="12" xfId="1" applyNumberFormat="1" applyFont="1" applyFill="1" applyBorder="1" applyAlignment="1">
      <alignment wrapText="1"/>
    </xf>
    <xf numFmtId="164" fontId="15" fillId="12" borderId="12" xfId="1" applyNumberFormat="1" applyFont="1" applyFill="1" applyBorder="1" applyAlignment="1">
      <alignment horizontal="left" wrapText="1"/>
    </xf>
    <xf numFmtId="164" fontId="15" fillId="12" borderId="20" xfId="1" applyNumberFormat="1" applyFont="1" applyFill="1" applyBorder="1" applyAlignment="1">
      <alignment horizontal="left" wrapText="1"/>
    </xf>
    <xf numFmtId="164" fontId="15" fillId="12" borderId="21" xfId="1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ccounts%20PC%20Main%20Data-16-7-24\Sayed%2001st%20April-2021\V9%20Techno-Delhi\F.Y.%202025-26\Purchase%20Order-Party%20Wise\Updated_%20Po%20wise%20Value%20%20with%20billing%20details.xlsx" TargetMode="External"/><Relationship Id="rId1" Type="http://schemas.openxmlformats.org/officeDocument/2006/relationships/externalLinkPath" Target="file:///D:\Accounts%20PC%20Main%20Data-16-7-24\Sayed%2001st%20April-2021\V9%20Techno-Delhi\F.Y.%202025-26\Purchase%20Order-Party%20Wise\Updated_%20Po%20wise%20Value%20%20with%20billing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 Working"/>
      <sheetName val="For Pooran to billing"/>
      <sheetName val="Final Billing det as per Tally"/>
      <sheetName val="Billing detail req by Sir"/>
      <sheetName val="Project details"/>
    </sheetNames>
    <sheetDataSet>
      <sheetData sheetId="0">
        <row r="9">
          <cell r="L9">
            <v>11020948</v>
          </cell>
        </row>
        <row r="13">
          <cell r="L13">
            <v>116800</v>
          </cell>
        </row>
        <row r="20">
          <cell r="L20">
            <v>2417065</v>
          </cell>
        </row>
        <row r="22">
          <cell r="L22">
            <v>3057405</v>
          </cell>
        </row>
        <row r="24">
          <cell r="L24">
            <v>651981.69999999995</v>
          </cell>
        </row>
        <row r="28">
          <cell r="L28">
            <v>10696818.5</v>
          </cell>
        </row>
        <row r="31">
          <cell r="L31">
            <v>1733520</v>
          </cell>
        </row>
        <row r="51">
          <cell r="L51">
            <v>23726011</v>
          </cell>
        </row>
        <row r="55">
          <cell r="L55">
            <v>907796</v>
          </cell>
        </row>
        <row r="59">
          <cell r="G59">
            <v>1126004</v>
          </cell>
        </row>
        <row r="60">
          <cell r="G60">
            <v>3699991</v>
          </cell>
        </row>
        <row r="61">
          <cell r="G61">
            <v>2832390</v>
          </cell>
        </row>
        <row r="62">
          <cell r="G62">
            <v>4100000</v>
          </cell>
        </row>
        <row r="65">
          <cell r="L65">
            <v>130500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6A39-68BA-4A58-8F56-ED0B28978026}">
  <dimension ref="A1:AK109"/>
  <sheetViews>
    <sheetView tabSelected="1" topLeftCell="B1" workbookViewId="0">
      <selection activeCell="AC9" sqref="AC9"/>
    </sheetView>
  </sheetViews>
  <sheetFormatPr defaultRowHeight="15" x14ac:dyDescent="0.25"/>
  <cols>
    <col min="1" max="1" width="16.28515625" hidden="1" customWidth="1"/>
    <col min="2" max="2" width="30.5703125" customWidth="1"/>
    <col min="3" max="3" width="22" hidden="1" customWidth="1"/>
    <col min="4" max="4" width="1" hidden="1" customWidth="1"/>
    <col min="5" max="5" width="17.42578125" style="194" customWidth="1"/>
    <col min="6" max="6" width="17.42578125" style="194" hidden="1" customWidth="1"/>
    <col min="7" max="7" width="18.42578125" hidden="1" customWidth="1"/>
    <col min="8" max="8" width="19.5703125" style="60" customWidth="1"/>
    <col min="9" max="9" width="17.7109375" customWidth="1"/>
    <col min="10" max="10" width="16" hidden="1" customWidth="1"/>
    <col min="11" max="11" width="18.28515625" hidden="1" customWidth="1"/>
    <col min="12" max="12" width="17.85546875" hidden="1" customWidth="1"/>
    <col min="13" max="17" width="18.28515625" hidden="1" customWidth="1"/>
    <col min="18" max="18" width="18.140625" hidden="1" customWidth="1"/>
    <col min="19" max="21" width="16" hidden="1" customWidth="1"/>
    <col min="22" max="22" width="0.85546875" hidden="1" customWidth="1"/>
    <col min="23" max="23" width="19" customWidth="1"/>
    <col min="24" max="24" width="21.85546875" customWidth="1"/>
    <col min="25" max="25" width="19.5703125" customWidth="1"/>
    <col min="26" max="26" width="11.5703125" hidden="1" customWidth="1"/>
    <col min="27" max="27" width="18.140625" hidden="1" customWidth="1"/>
    <col min="28" max="28" width="0.140625" hidden="1" customWidth="1"/>
    <col min="30" max="30" width="16.28515625" bestFit="1" customWidth="1"/>
    <col min="34" max="34" width="13.28515625" bestFit="1" customWidth="1"/>
    <col min="37" max="37" width="13.28515625" bestFit="1" customWidth="1"/>
    <col min="39" max="39" width="13.28515625" bestFit="1" customWidth="1"/>
  </cols>
  <sheetData>
    <row r="1" spans="1:30" ht="50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4"/>
    </row>
    <row r="2" spans="1:30" ht="50.25" customHeight="1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3"/>
      <c r="AB2" s="3"/>
    </row>
    <row r="3" spans="1:30" ht="50.25" customHeight="1" thickBot="1" x14ac:dyDescent="0.35">
      <c r="A3" s="7" t="s">
        <v>2</v>
      </c>
      <c r="B3" s="8"/>
      <c r="C3" s="9"/>
      <c r="D3" s="10"/>
      <c r="E3" s="11">
        <f>SUM(E5:E69)</f>
        <v>281757875</v>
      </c>
      <c r="F3" s="11">
        <f>SUM(F5:F69)</f>
        <v>93007548.799999997</v>
      </c>
      <c r="G3" s="12">
        <f>SUM(G5:G69)</f>
        <v>109343401.2</v>
      </c>
      <c r="H3" s="12">
        <f>SUM(H5:H69)</f>
        <v>82678774</v>
      </c>
      <c r="I3" s="12">
        <f>SUM(I5:I69)</f>
        <v>192022175.19999999</v>
      </c>
      <c r="J3" s="13" t="s">
        <v>3</v>
      </c>
      <c r="K3" s="13" t="s">
        <v>4</v>
      </c>
      <c r="L3" s="13" t="s">
        <v>3</v>
      </c>
      <c r="M3" s="13" t="s">
        <v>3</v>
      </c>
      <c r="N3" s="13" t="s">
        <v>3</v>
      </c>
      <c r="O3" s="13" t="s">
        <v>3</v>
      </c>
      <c r="P3" s="13" t="s">
        <v>3</v>
      </c>
      <c r="Q3" s="14" t="s">
        <v>3</v>
      </c>
      <c r="R3" s="15" t="s">
        <v>5</v>
      </c>
      <c r="S3" s="15" t="s">
        <v>5</v>
      </c>
      <c r="T3" s="15" t="s">
        <v>5</v>
      </c>
      <c r="U3" s="15" t="s">
        <v>5</v>
      </c>
      <c r="V3" s="15" t="s">
        <v>5</v>
      </c>
      <c r="W3" s="16" t="s">
        <v>6</v>
      </c>
      <c r="X3" s="17" t="s">
        <v>7</v>
      </c>
      <c r="Y3" s="271" t="s">
        <v>8</v>
      </c>
      <c r="Z3" s="19" t="s">
        <v>10</v>
      </c>
      <c r="AA3" s="20"/>
      <c r="AB3" s="21"/>
    </row>
    <row r="4" spans="1:30" ht="70.5" customHeight="1" thickBot="1" x14ac:dyDescent="0.3">
      <c r="A4" s="22" t="s">
        <v>11</v>
      </c>
      <c r="B4" s="22" t="s">
        <v>12</v>
      </c>
      <c r="C4" s="22" t="s">
        <v>13</v>
      </c>
      <c r="D4" s="23" t="s">
        <v>14</v>
      </c>
      <c r="E4" s="274" t="s">
        <v>15</v>
      </c>
      <c r="F4" s="24" t="s">
        <v>16</v>
      </c>
      <c r="G4" s="23" t="s">
        <v>17</v>
      </c>
      <c r="H4" s="23" t="s">
        <v>18</v>
      </c>
      <c r="I4" s="23" t="s">
        <v>19</v>
      </c>
      <c r="J4" s="25" t="s">
        <v>20</v>
      </c>
      <c r="K4" s="25" t="s">
        <v>21</v>
      </c>
      <c r="L4" s="25" t="s">
        <v>22</v>
      </c>
      <c r="M4" s="25" t="s">
        <v>23</v>
      </c>
      <c r="N4" s="26" t="s">
        <v>24</v>
      </c>
      <c r="O4" s="25" t="s">
        <v>25</v>
      </c>
      <c r="P4" s="27" t="s">
        <v>26</v>
      </c>
      <c r="Q4" s="28" t="s">
        <v>27</v>
      </c>
      <c r="R4" s="29" t="s">
        <v>28</v>
      </c>
      <c r="S4" s="29" t="s">
        <v>29</v>
      </c>
      <c r="T4" s="29" t="s">
        <v>25</v>
      </c>
      <c r="U4" s="29" t="s">
        <v>26</v>
      </c>
      <c r="V4" s="30" t="s">
        <v>27</v>
      </c>
      <c r="W4" s="25" t="s">
        <v>30</v>
      </c>
      <c r="X4" s="31" t="s">
        <v>31</v>
      </c>
      <c r="Y4" s="272" t="s">
        <v>32</v>
      </c>
      <c r="Z4" s="32" t="s">
        <v>33</v>
      </c>
      <c r="AA4" s="32" t="s">
        <v>34</v>
      </c>
      <c r="AB4" s="33" t="s">
        <v>35</v>
      </c>
    </row>
    <row r="5" spans="1:30" ht="50.25" customHeight="1" x14ac:dyDescent="0.3">
      <c r="A5" s="34">
        <v>1</v>
      </c>
      <c r="B5" s="35" t="s">
        <v>36</v>
      </c>
      <c r="C5" s="35"/>
      <c r="D5" s="35"/>
      <c r="E5" s="275">
        <f>875980+983800</f>
        <v>1859780</v>
      </c>
      <c r="F5" s="36">
        <f>E5-G5</f>
        <v>1574780</v>
      </c>
      <c r="G5" s="37">
        <v>285000</v>
      </c>
      <c r="H5" s="38">
        <v>0</v>
      </c>
      <c r="I5" s="39">
        <f>G5+H5</f>
        <v>285000</v>
      </c>
      <c r="J5" s="40">
        <v>0</v>
      </c>
      <c r="K5" s="40"/>
      <c r="L5" s="40"/>
      <c r="M5" s="40"/>
      <c r="N5" s="40"/>
      <c r="O5" s="40"/>
      <c r="P5" s="40"/>
      <c r="Q5" s="41"/>
      <c r="R5" s="40"/>
      <c r="S5" s="40"/>
      <c r="T5" s="40"/>
      <c r="U5" s="40"/>
      <c r="V5" s="42"/>
      <c r="W5" s="40">
        <f>SUM(J5:Q5)-SUM(R5:V5)</f>
        <v>0</v>
      </c>
      <c r="X5" s="40">
        <f>F5</f>
        <v>1574780</v>
      </c>
      <c r="Y5" s="273">
        <f>W5+X5</f>
        <v>1574780</v>
      </c>
      <c r="Z5" s="43"/>
      <c r="AA5" s="43" t="s">
        <v>37</v>
      </c>
      <c r="AB5" s="44"/>
    </row>
    <row r="6" spans="1:30" ht="50.25" customHeight="1" x14ac:dyDescent="0.3">
      <c r="A6" s="45">
        <v>2</v>
      </c>
      <c r="B6" s="46" t="s">
        <v>38</v>
      </c>
      <c r="C6" s="46"/>
      <c r="D6" s="46"/>
      <c r="E6" s="276">
        <v>12281602</v>
      </c>
      <c r="F6" s="36">
        <f>E6-G6</f>
        <v>1260654</v>
      </c>
      <c r="G6" s="47">
        <f>'[1]Old Working'!L9</f>
        <v>11020948</v>
      </c>
      <c r="H6" s="38">
        <v>0</v>
      </c>
      <c r="I6" s="48">
        <f t="shared" ref="I6:I69" si="0">G6+H6</f>
        <v>11020948</v>
      </c>
      <c r="J6" s="49">
        <v>0</v>
      </c>
      <c r="K6" s="40"/>
      <c r="L6" s="40"/>
      <c r="M6" s="40">
        <v>441466.9</v>
      </c>
      <c r="N6" s="40"/>
      <c r="O6" s="40"/>
      <c r="P6" s="40"/>
      <c r="Q6" s="41"/>
      <c r="R6" s="40"/>
      <c r="S6" s="40"/>
      <c r="T6" s="40"/>
      <c r="U6" s="40"/>
      <c r="V6" s="42"/>
      <c r="W6" s="40">
        <f t="shared" ref="W6:W69" si="1">SUM(J6:Q6)-SUM(R6:V6)</f>
        <v>441466.9</v>
      </c>
      <c r="X6" s="40">
        <f t="shared" ref="X6:X69" si="2">F6</f>
        <v>1260654</v>
      </c>
      <c r="Y6" s="273">
        <f>W6+X6</f>
        <v>1702120.9</v>
      </c>
      <c r="Z6" s="50"/>
      <c r="AA6" s="43" t="s">
        <v>37</v>
      </c>
      <c r="AB6" s="51"/>
    </row>
    <row r="7" spans="1:30" ht="50.25" customHeight="1" x14ac:dyDescent="0.3">
      <c r="A7" s="34">
        <v>3</v>
      </c>
      <c r="B7" s="46" t="s">
        <v>39</v>
      </c>
      <c r="C7" s="46"/>
      <c r="D7" s="46"/>
      <c r="E7" s="276">
        <v>480000</v>
      </c>
      <c r="F7" s="36">
        <f t="shared" ref="F7:F49" si="3">E7-G7</f>
        <v>363200</v>
      </c>
      <c r="G7" s="47">
        <f>'[1]Old Working'!L13</f>
        <v>116800</v>
      </c>
      <c r="H7" s="38">
        <v>0</v>
      </c>
      <c r="I7" s="48">
        <f t="shared" si="0"/>
        <v>116800</v>
      </c>
      <c r="J7" s="49">
        <v>0</v>
      </c>
      <c r="K7" s="40"/>
      <c r="L7" s="40"/>
      <c r="M7" s="40"/>
      <c r="N7" s="40"/>
      <c r="O7" s="40"/>
      <c r="P7" s="40"/>
      <c r="Q7" s="52"/>
      <c r="R7" s="40"/>
      <c r="S7" s="40"/>
      <c r="T7" s="40"/>
      <c r="U7" s="40"/>
      <c r="V7" s="42"/>
      <c r="W7" s="40">
        <f t="shared" si="1"/>
        <v>0</v>
      </c>
      <c r="X7" s="40">
        <f t="shared" si="2"/>
        <v>363200</v>
      </c>
      <c r="Y7" s="273">
        <f t="shared" ref="Y7:Y69" si="4">W7+X7</f>
        <v>363200</v>
      </c>
      <c r="Z7" s="50"/>
      <c r="AA7" s="50" t="s">
        <v>40</v>
      </c>
      <c r="AB7" s="51"/>
    </row>
    <row r="8" spans="1:30" ht="50.25" customHeight="1" x14ac:dyDescent="0.3">
      <c r="A8" s="45">
        <v>4</v>
      </c>
      <c r="B8" s="46" t="s">
        <v>41</v>
      </c>
      <c r="C8" s="46"/>
      <c r="D8" s="46"/>
      <c r="E8" s="276">
        <v>1675761</v>
      </c>
      <c r="F8" s="36">
        <f>E8-G8</f>
        <v>1023779.3</v>
      </c>
      <c r="G8" s="47">
        <f>'[1]Old Working'!L24</f>
        <v>651981.69999999995</v>
      </c>
      <c r="H8" s="38">
        <v>473318</v>
      </c>
      <c r="I8" s="48">
        <f t="shared" si="0"/>
        <v>1125299.7</v>
      </c>
      <c r="J8" s="49">
        <v>0</v>
      </c>
      <c r="K8" s="40"/>
      <c r="L8" s="40"/>
      <c r="M8" s="40"/>
      <c r="N8" s="40"/>
      <c r="O8" s="53">
        <v>340990</v>
      </c>
      <c r="P8" s="53"/>
      <c r="Q8" s="52">
        <f>133992+282440</f>
        <v>416432</v>
      </c>
      <c r="R8" s="40"/>
      <c r="S8" s="40"/>
      <c r="T8" s="40"/>
      <c r="U8" s="40"/>
      <c r="V8" s="54">
        <v>282440</v>
      </c>
      <c r="W8" s="40">
        <f t="shared" si="1"/>
        <v>474982</v>
      </c>
      <c r="X8" s="40">
        <f t="shared" si="2"/>
        <v>1023779.3</v>
      </c>
      <c r="Y8" s="273">
        <f t="shared" si="4"/>
        <v>1498761.3</v>
      </c>
      <c r="Z8" s="50"/>
      <c r="AA8" s="50" t="s">
        <v>40</v>
      </c>
      <c r="AB8" s="51"/>
    </row>
    <row r="9" spans="1:30" ht="50.25" customHeight="1" x14ac:dyDescent="0.3">
      <c r="A9" s="34">
        <v>5</v>
      </c>
      <c r="B9" s="46" t="s">
        <v>42</v>
      </c>
      <c r="C9" s="46"/>
      <c r="D9" s="46"/>
      <c r="E9" s="276">
        <v>11734161</v>
      </c>
      <c r="F9" s="36">
        <f t="shared" si="3"/>
        <v>1037342.5</v>
      </c>
      <c r="G9" s="47">
        <f>'[1]Old Working'!L28</f>
        <v>10696818.5</v>
      </c>
      <c r="H9" s="38">
        <v>0</v>
      </c>
      <c r="I9" s="48">
        <f t="shared" si="0"/>
        <v>10696818.5</v>
      </c>
      <c r="J9" s="49">
        <v>0</v>
      </c>
      <c r="K9" s="40"/>
      <c r="L9" s="40"/>
      <c r="M9" s="40">
        <v>1025696</v>
      </c>
      <c r="N9" s="40"/>
      <c r="O9" s="40"/>
      <c r="P9" s="40"/>
      <c r="Q9" s="52"/>
      <c r="R9" s="40"/>
      <c r="S9" s="40"/>
      <c r="T9" s="40"/>
      <c r="U9" s="40"/>
      <c r="V9" s="42"/>
      <c r="W9" s="40">
        <f t="shared" si="1"/>
        <v>1025696</v>
      </c>
      <c r="X9" s="40">
        <f t="shared" si="2"/>
        <v>1037342.5</v>
      </c>
      <c r="Y9" s="273">
        <f t="shared" si="4"/>
        <v>2063038.5</v>
      </c>
      <c r="Z9" s="50"/>
      <c r="AA9" s="50" t="s">
        <v>40</v>
      </c>
      <c r="AB9" s="51"/>
    </row>
    <row r="10" spans="1:30" ht="50.25" customHeight="1" x14ac:dyDescent="0.3">
      <c r="A10" s="45">
        <v>6</v>
      </c>
      <c r="B10" s="46" t="s">
        <v>43</v>
      </c>
      <c r="C10" s="46"/>
      <c r="D10" s="46"/>
      <c r="E10" s="276">
        <v>2468800</v>
      </c>
      <c r="F10" s="36">
        <f t="shared" si="3"/>
        <v>735280</v>
      </c>
      <c r="G10" s="47">
        <f>'[1]Old Working'!L31</f>
        <v>1733520</v>
      </c>
      <c r="H10" s="38">
        <v>0</v>
      </c>
      <c r="I10" s="48">
        <f t="shared" si="0"/>
        <v>1733520</v>
      </c>
      <c r="J10" s="49">
        <v>0</v>
      </c>
      <c r="K10" s="40"/>
      <c r="L10" s="40"/>
      <c r="M10" s="40"/>
      <c r="N10" s="40"/>
      <c r="O10" s="40"/>
      <c r="P10" s="40"/>
      <c r="Q10" s="52">
        <v>785680</v>
      </c>
      <c r="R10" s="40"/>
      <c r="S10" s="40"/>
      <c r="T10" s="40"/>
      <c r="U10" s="40"/>
      <c r="V10" s="42"/>
      <c r="W10" s="40">
        <f t="shared" si="1"/>
        <v>785680</v>
      </c>
      <c r="X10" s="40">
        <f t="shared" si="2"/>
        <v>735280</v>
      </c>
      <c r="Y10" s="273">
        <f t="shared" si="4"/>
        <v>1520960</v>
      </c>
      <c r="Z10" s="50"/>
      <c r="AA10" s="50" t="s">
        <v>40</v>
      </c>
      <c r="AB10" s="51"/>
      <c r="AD10" s="55">
        <f>I3-J71</f>
        <v>125780151.09999999</v>
      </c>
    </row>
    <row r="11" spans="1:30" s="60" customFormat="1" ht="50.25" customHeight="1" x14ac:dyDescent="0.3">
      <c r="A11" s="34">
        <v>7</v>
      </c>
      <c r="B11" s="46" t="s">
        <v>44</v>
      </c>
      <c r="C11" s="56"/>
      <c r="D11" s="56"/>
      <c r="E11" s="276">
        <v>6925030</v>
      </c>
      <c r="F11" s="36">
        <f t="shared" si="3"/>
        <v>3262387</v>
      </c>
      <c r="G11" s="47">
        <v>3662643</v>
      </c>
      <c r="H11" s="38">
        <v>2438531</v>
      </c>
      <c r="I11" s="48">
        <f t="shared" si="0"/>
        <v>6101174</v>
      </c>
      <c r="J11" s="49" t="s">
        <v>9</v>
      </c>
      <c r="K11" s="40" t="s">
        <v>9</v>
      </c>
      <c r="L11" s="53">
        <f>811706+162505</f>
        <v>974211</v>
      </c>
      <c r="M11" s="40">
        <v>203431.85</v>
      </c>
      <c r="N11" s="40"/>
      <c r="O11" s="53"/>
      <c r="P11" s="53"/>
      <c r="Q11" s="52">
        <v>1668274</v>
      </c>
      <c r="R11" s="53">
        <v>8283</v>
      </c>
      <c r="S11" s="53"/>
      <c r="T11" s="53"/>
      <c r="U11" s="53"/>
      <c r="V11" s="57"/>
      <c r="W11" s="40">
        <f t="shared" si="1"/>
        <v>2837633.85</v>
      </c>
      <c r="X11" s="40">
        <f t="shared" si="2"/>
        <v>3262387</v>
      </c>
      <c r="Y11" s="273">
        <f t="shared" si="4"/>
        <v>6100020.8499999996</v>
      </c>
      <c r="Z11" s="58"/>
      <c r="AA11" s="58" t="s">
        <v>45</v>
      </c>
      <c r="AB11" s="59"/>
      <c r="AD11" s="61"/>
    </row>
    <row r="12" spans="1:30" ht="50.25" customHeight="1" x14ac:dyDescent="0.3">
      <c r="A12" s="34">
        <v>8</v>
      </c>
      <c r="B12" s="62" t="s">
        <v>46</v>
      </c>
      <c r="C12" s="63"/>
      <c r="D12" s="63"/>
      <c r="E12" s="277">
        <v>1126004</v>
      </c>
      <c r="F12" s="36">
        <f t="shared" si="3"/>
        <v>0</v>
      </c>
      <c r="G12" s="47">
        <f>'[1]Old Working'!G59</f>
        <v>1126004</v>
      </c>
      <c r="H12" s="38">
        <v>0</v>
      </c>
      <c r="I12" s="48">
        <f t="shared" si="0"/>
        <v>1126004</v>
      </c>
      <c r="J12" s="49">
        <v>0</v>
      </c>
      <c r="K12" s="40"/>
      <c r="L12" s="40"/>
      <c r="M12" s="40"/>
      <c r="N12" s="40"/>
      <c r="O12" s="53">
        <v>114450</v>
      </c>
      <c r="P12" s="53"/>
      <c r="Q12" s="52"/>
      <c r="R12" s="40"/>
      <c r="S12" s="40"/>
      <c r="T12" s="40"/>
      <c r="U12" s="40"/>
      <c r="V12" s="42"/>
      <c r="W12" s="40">
        <f t="shared" si="1"/>
        <v>114450</v>
      </c>
      <c r="X12" s="40">
        <f t="shared" si="2"/>
        <v>0</v>
      </c>
      <c r="Y12" s="273">
        <f t="shared" si="4"/>
        <v>114450</v>
      </c>
      <c r="Z12" s="50"/>
      <c r="AA12" s="50" t="s">
        <v>40</v>
      </c>
      <c r="AB12" s="51"/>
    </row>
    <row r="13" spans="1:30" ht="50.25" customHeight="1" x14ac:dyDescent="0.3">
      <c r="A13" s="45">
        <v>9</v>
      </c>
      <c r="B13" s="62" t="s">
        <v>47</v>
      </c>
      <c r="C13" s="63"/>
      <c r="D13" s="63"/>
      <c r="E13" s="277">
        <v>3699991</v>
      </c>
      <c r="F13" s="36">
        <f t="shared" si="3"/>
        <v>0</v>
      </c>
      <c r="G13" s="47">
        <f>'[1]Old Working'!G60</f>
        <v>3699991</v>
      </c>
      <c r="H13" s="38">
        <v>0</v>
      </c>
      <c r="I13" s="48">
        <f t="shared" si="0"/>
        <v>3699991</v>
      </c>
      <c r="J13" s="49">
        <v>0</v>
      </c>
      <c r="K13" s="40"/>
      <c r="L13" s="40"/>
      <c r="M13" s="40"/>
      <c r="N13" s="40"/>
      <c r="O13" s="53">
        <v>267050</v>
      </c>
      <c r="P13" s="53"/>
      <c r="Q13" s="52"/>
      <c r="R13" s="40"/>
      <c r="S13" s="40"/>
      <c r="T13" s="40"/>
      <c r="U13" s="40"/>
      <c r="V13" s="42"/>
      <c r="W13" s="40">
        <f t="shared" si="1"/>
        <v>267050</v>
      </c>
      <c r="X13" s="40">
        <f t="shared" si="2"/>
        <v>0</v>
      </c>
      <c r="Y13" s="273">
        <f t="shared" si="4"/>
        <v>267050</v>
      </c>
      <c r="Z13" s="50"/>
      <c r="AA13" s="50" t="s">
        <v>40</v>
      </c>
      <c r="AB13" s="51"/>
    </row>
    <row r="14" spans="1:30" ht="50.25" customHeight="1" x14ac:dyDescent="0.3">
      <c r="A14" s="34">
        <v>10</v>
      </c>
      <c r="B14" s="62" t="s">
        <v>48</v>
      </c>
      <c r="C14" s="62" t="s">
        <v>49</v>
      </c>
      <c r="D14" s="62"/>
      <c r="E14" s="278">
        <v>2832390</v>
      </c>
      <c r="F14" s="36">
        <f>E14-G14</f>
        <v>0</v>
      </c>
      <c r="G14" s="47">
        <f>'[1]Old Working'!G61</f>
        <v>2832390</v>
      </c>
      <c r="H14" s="38">
        <v>0</v>
      </c>
      <c r="I14" s="48">
        <f t="shared" si="0"/>
        <v>2832390</v>
      </c>
      <c r="J14" s="49">
        <v>0</v>
      </c>
      <c r="K14" s="49"/>
      <c r="L14" s="49"/>
      <c r="M14" s="40"/>
      <c r="N14" s="40">
        <v>158790</v>
      </c>
      <c r="O14" s="53">
        <v>110642</v>
      </c>
      <c r="P14" s="53"/>
      <c r="Q14" s="41">
        <v>271985</v>
      </c>
      <c r="R14" s="40"/>
      <c r="S14" s="40"/>
      <c r="T14" s="40">
        <v>158790</v>
      </c>
      <c r="U14" s="40"/>
      <c r="V14" s="42"/>
      <c r="W14" s="40">
        <f t="shared" si="1"/>
        <v>382627</v>
      </c>
      <c r="X14" s="40">
        <f t="shared" si="2"/>
        <v>0</v>
      </c>
      <c r="Y14" s="273">
        <f t="shared" si="4"/>
        <v>382627</v>
      </c>
      <c r="Z14" s="50" t="s">
        <v>50</v>
      </c>
      <c r="AA14" s="50" t="s">
        <v>40</v>
      </c>
      <c r="AB14" s="64" t="s">
        <v>51</v>
      </c>
    </row>
    <row r="15" spans="1:30" ht="50.25" customHeight="1" x14ac:dyDescent="0.3">
      <c r="A15" s="45">
        <v>11</v>
      </c>
      <c r="B15" s="62" t="s">
        <v>52</v>
      </c>
      <c r="C15" s="62" t="s">
        <v>53</v>
      </c>
      <c r="D15" s="62"/>
      <c r="E15" s="278">
        <v>4100000</v>
      </c>
      <c r="F15" s="36">
        <f t="shared" si="3"/>
        <v>0</v>
      </c>
      <c r="G15" s="47">
        <f>'[1]Old Working'!G62</f>
        <v>4100000</v>
      </c>
      <c r="H15" s="38">
        <v>0</v>
      </c>
      <c r="I15" s="48">
        <f t="shared" si="0"/>
        <v>4100000</v>
      </c>
      <c r="J15" s="49">
        <v>0</v>
      </c>
      <c r="K15" s="49"/>
      <c r="L15" s="49"/>
      <c r="M15" s="40"/>
      <c r="N15" s="40">
        <v>223703</v>
      </c>
      <c r="O15" s="53">
        <v>152303</v>
      </c>
      <c r="P15" s="53"/>
      <c r="Q15" s="41">
        <v>283010</v>
      </c>
      <c r="R15" s="40"/>
      <c r="S15" s="40"/>
      <c r="T15" s="40">
        <v>223703</v>
      </c>
      <c r="U15" s="40"/>
      <c r="V15" s="42"/>
      <c r="W15" s="40">
        <f t="shared" si="1"/>
        <v>435313</v>
      </c>
      <c r="X15" s="40">
        <f t="shared" si="2"/>
        <v>0</v>
      </c>
      <c r="Y15" s="273">
        <f t="shared" si="4"/>
        <v>435313</v>
      </c>
      <c r="Z15" s="50" t="s">
        <v>50</v>
      </c>
      <c r="AA15" s="50" t="s">
        <v>40</v>
      </c>
      <c r="AB15" s="64" t="s">
        <v>51</v>
      </c>
    </row>
    <row r="16" spans="1:30" ht="50.25" customHeight="1" x14ac:dyDescent="0.3">
      <c r="A16" s="34">
        <v>12</v>
      </c>
      <c r="B16" s="62" t="s">
        <v>54</v>
      </c>
      <c r="C16" s="62" t="s">
        <v>55</v>
      </c>
      <c r="D16" s="62"/>
      <c r="E16" s="278">
        <v>922583</v>
      </c>
      <c r="F16" s="36">
        <f>E16-G16-H16</f>
        <v>0</v>
      </c>
      <c r="G16" s="65">
        <v>0</v>
      </c>
      <c r="H16" s="38">
        <v>922583</v>
      </c>
      <c r="I16" s="48">
        <f t="shared" si="0"/>
        <v>922583</v>
      </c>
      <c r="J16" s="49">
        <v>0</v>
      </c>
      <c r="K16" s="40">
        <v>0</v>
      </c>
      <c r="L16" s="40"/>
      <c r="M16" s="40"/>
      <c r="N16" s="40">
        <v>413295</v>
      </c>
      <c r="O16" s="53">
        <v>208538</v>
      </c>
      <c r="P16" s="53"/>
      <c r="Q16" s="41"/>
      <c r="R16" s="40"/>
      <c r="S16" s="40"/>
      <c r="T16" s="40"/>
      <c r="U16" s="40"/>
      <c r="V16" s="42"/>
      <c r="W16" s="40">
        <f t="shared" si="1"/>
        <v>621833</v>
      </c>
      <c r="X16" s="40">
        <f t="shared" si="2"/>
        <v>0</v>
      </c>
      <c r="Y16" s="273">
        <f t="shared" si="4"/>
        <v>621833</v>
      </c>
      <c r="Z16" s="50"/>
      <c r="AA16" s="50" t="s">
        <v>56</v>
      </c>
      <c r="AB16" s="64"/>
    </row>
    <row r="17" spans="1:37" s="60" customFormat="1" ht="50.25" customHeight="1" x14ac:dyDescent="0.3">
      <c r="A17" s="66">
        <v>13</v>
      </c>
      <c r="B17" s="46" t="s">
        <v>57</v>
      </c>
      <c r="C17" s="56"/>
      <c r="D17" s="56"/>
      <c r="E17" s="276">
        <v>907796</v>
      </c>
      <c r="F17" s="36">
        <f t="shared" si="3"/>
        <v>0</v>
      </c>
      <c r="G17" s="47">
        <f>'[1]Old Working'!L55</f>
        <v>907796</v>
      </c>
      <c r="H17" s="38">
        <v>0</v>
      </c>
      <c r="I17" s="48">
        <f t="shared" si="0"/>
        <v>907796</v>
      </c>
      <c r="J17" s="49">
        <v>0</v>
      </c>
      <c r="K17" s="40">
        <v>427607</v>
      </c>
      <c r="L17" s="53"/>
      <c r="M17" s="40">
        <v>333718</v>
      </c>
      <c r="N17" s="40"/>
      <c r="O17" s="53"/>
      <c r="P17" s="53"/>
      <c r="Q17" s="41"/>
      <c r="R17" s="53"/>
      <c r="S17" s="53"/>
      <c r="T17" s="53"/>
      <c r="U17" s="53"/>
      <c r="V17" s="57"/>
      <c r="W17" s="40">
        <f t="shared" si="1"/>
        <v>761325</v>
      </c>
      <c r="X17" s="40">
        <f t="shared" si="2"/>
        <v>0</v>
      </c>
      <c r="Y17" s="273">
        <f t="shared" si="4"/>
        <v>761325</v>
      </c>
      <c r="Z17" s="67"/>
      <c r="AA17" s="67" t="s">
        <v>58</v>
      </c>
      <c r="AB17" s="68"/>
    </row>
    <row r="18" spans="1:37" ht="50.25" customHeight="1" x14ac:dyDescent="0.3">
      <c r="A18" s="34">
        <v>14</v>
      </c>
      <c r="B18" s="69" t="s">
        <v>59</v>
      </c>
      <c r="C18" s="69"/>
      <c r="D18" s="69"/>
      <c r="E18" s="276">
        <v>780500</v>
      </c>
      <c r="F18" s="70">
        <f t="shared" si="3"/>
        <v>205595</v>
      </c>
      <c r="G18" s="71">
        <f>'[1]Old Working'!L65+444405</f>
        <v>574905</v>
      </c>
      <c r="H18" s="72">
        <v>0</v>
      </c>
      <c r="I18" s="73">
        <f t="shared" si="0"/>
        <v>574905</v>
      </c>
      <c r="J18" s="74">
        <f>130500+444405-444405</f>
        <v>130500</v>
      </c>
      <c r="K18" s="75"/>
      <c r="L18" s="75"/>
      <c r="M18" s="75"/>
      <c r="N18" s="75"/>
      <c r="O18" s="75"/>
      <c r="P18" s="75"/>
      <c r="Q18" s="41"/>
      <c r="R18" s="75"/>
      <c r="S18" s="75"/>
      <c r="T18" s="75"/>
      <c r="U18" s="75"/>
      <c r="V18" s="75"/>
      <c r="W18" s="75">
        <f t="shared" si="1"/>
        <v>130500</v>
      </c>
      <c r="X18" s="75">
        <f t="shared" si="2"/>
        <v>205595</v>
      </c>
      <c r="Y18" s="273">
        <f t="shared" si="4"/>
        <v>336095</v>
      </c>
      <c r="Z18" s="76"/>
      <c r="AA18" s="76" t="s">
        <v>60</v>
      </c>
      <c r="AB18" s="77" t="s">
        <v>61</v>
      </c>
    </row>
    <row r="19" spans="1:37" ht="50.25" customHeight="1" x14ac:dyDescent="0.3">
      <c r="A19" s="45">
        <v>13</v>
      </c>
      <c r="B19" s="46" t="s">
        <v>62</v>
      </c>
      <c r="C19" s="46"/>
      <c r="D19" s="46"/>
      <c r="E19" s="276">
        <v>6100585</v>
      </c>
      <c r="F19" s="36">
        <f>E19-G19</f>
        <v>3683520</v>
      </c>
      <c r="G19" s="47">
        <f>'[1]Old Working'!L20</f>
        <v>2417065</v>
      </c>
      <c r="H19" s="38">
        <v>0</v>
      </c>
      <c r="I19" s="48">
        <f t="shared" si="0"/>
        <v>2417065</v>
      </c>
      <c r="J19" s="49"/>
      <c r="K19" s="40"/>
      <c r="L19" s="78">
        <v>1443970</v>
      </c>
      <c r="M19" s="37">
        <v>576963</v>
      </c>
      <c r="N19" s="37"/>
      <c r="O19" s="78"/>
      <c r="P19" s="78"/>
      <c r="Q19" s="79">
        <v>170107</v>
      </c>
      <c r="R19" s="78"/>
      <c r="S19" s="78"/>
      <c r="T19" s="78"/>
      <c r="U19" s="80"/>
      <c r="V19" s="81"/>
      <c r="W19" s="40">
        <f t="shared" si="1"/>
        <v>2191040</v>
      </c>
      <c r="X19" s="40">
        <f t="shared" si="2"/>
        <v>3683520</v>
      </c>
      <c r="Y19" s="273">
        <f t="shared" si="4"/>
        <v>5874560</v>
      </c>
      <c r="Z19" s="50"/>
      <c r="AA19" s="50" t="s">
        <v>63</v>
      </c>
      <c r="AB19" s="83" t="s">
        <v>64</v>
      </c>
    </row>
    <row r="20" spans="1:37" ht="50.25" customHeight="1" x14ac:dyDescent="0.3">
      <c r="A20" s="34">
        <v>14</v>
      </c>
      <c r="B20" s="46" t="s">
        <v>65</v>
      </c>
      <c r="C20" s="56"/>
      <c r="D20" s="56"/>
      <c r="E20" s="276">
        <v>6350710</v>
      </c>
      <c r="F20" s="36">
        <f t="shared" si="3"/>
        <v>3293305</v>
      </c>
      <c r="G20" s="47">
        <f>'[1]Old Working'!L22</f>
        <v>3057405</v>
      </c>
      <c r="H20" s="38">
        <v>0</v>
      </c>
      <c r="I20" s="48">
        <f t="shared" si="0"/>
        <v>3057405</v>
      </c>
      <c r="J20" s="49">
        <v>0</v>
      </c>
      <c r="K20" s="40">
        <v>510195</v>
      </c>
      <c r="L20" s="53">
        <v>203362</v>
      </c>
      <c r="M20" s="40">
        <v>266912</v>
      </c>
      <c r="N20" s="40"/>
      <c r="O20" s="53">
        <v>79040</v>
      </c>
      <c r="P20" s="53"/>
      <c r="Q20" s="41">
        <v>50620</v>
      </c>
      <c r="R20" s="53"/>
      <c r="S20" s="53"/>
      <c r="T20" s="53"/>
      <c r="U20" s="53"/>
      <c r="V20" s="57"/>
      <c r="W20" s="40">
        <f t="shared" si="1"/>
        <v>1110129</v>
      </c>
      <c r="X20" s="40">
        <f t="shared" si="2"/>
        <v>3293305</v>
      </c>
      <c r="Y20" s="273">
        <f t="shared" si="4"/>
        <v>4403434</v>
      </c>
      <c r="Z20" s="58" t="s">
        <v>50</v>
      </c>
      <c r="AA20" s="58" t="s">
        <v>66</v>
      </c>
      <c r="AB20" s="83" t="s">
        <v>64</v>
      </c>
    </row>
    <row r="21" spans="1:37" ht="50.25" customHeight="1" x14ac:dyDescent="0.3">
      <c r="A21" s="45">
        <v>15</v>
      </c>
      <c r="B21" s="46" t="s">
        <v>67</v>
      </c>
      <c r="C21" s="46"/>
      <c r="D21" s="46"/>
      <c r="E21" s="276">
        <v>3114148</v>
      </c>
      <c r="F21" s="36">
        <f t="shared" si="3"/>
        <v>1296490</v>
      </c>
      <c r="G21" s="47">
        <v>1817658</v>
      </c>
      <c r="H21" s="38">
        <v>0</v>
      </c>
      <c r="I21" s="48">
        <f t="shared" si="0"/>
        <v>1817658</v>
      </c>
      <c r="J21" s="84">
        <v>695175</v>
      </c>
      <c r="K21" s="49"/>
      <c r="L21" s="49"/>
      <c r="M21" s="40"/>
      <c r="N21" s="40"/>
      <c r="O21" s="40"/>
      <c r="P21" s="40"/>
      <c r="Q21" s="41"/>
      <c r="R21" s="40"/>
      <c r="S21" s="40"/>
      <c r="T21" s="40"/>
      <c r="U21" s="40"/>
      <c r="V21" s="42"/>
      <c r="W21" s="40">
        <f t="shared" si="1"/>
        <v>695175</v>
      </c>
      <c r="X21" s="40">
        <f t="shared" si="2"/>
        <v>1296490</v>
      </c>
      <c r="Y21" s="273">
        <f t="shared" si="4"/>
        <v>1991665</v>
      </c>
      <c r="Z21" s="50" t="s">
        <v>50</v>
      </c>
      <c r="AA21" s="50" t="s">
        <v>37</v>
      </c>
      <c r="AB21" s="64" t="s">
        <v>68</v>
      </c>
    </row>
    <row r="22" spans="1:37" ht="50.25" customHeight="1" x14ac:dyDescent="0.3">
      <c r="A22" s="85">
        <v>18</v>
      </c>
      <c r="B22" s="46" t="s">
        <v>69</v>
      </c>
      <c r="C22" s="56"/>
      <c r="D22" s="56"/>
      <c r="E22" s="276">
        <v>2750000</v>
      </c>
      <c r="F22" s="36">
        <f t="shared" si="3"/>
        <v>2062500</v>
      </c>
      <c r="G22" s="47">
        <v>687500</v>
      </c>
      <c r="H22" s="38">
        <v>0</v>
      </c>
      <c r="I22" s="48">
        <f t="shared" si="0"/>
        <v>687500</v>
      </c>
      <c r="J22" s="49"/>
      <c r="K22" s="40">
        <v>687500</v>
      </c>
      <c r="L22" s="53"/>
      <c r="M22" s="40"/>
      <c r="N22" s="40"/>
      <c r="O22" s="53"/>
      <c r="P22" s="53"/>
      <c r="Q22" s="41"/>
      <c r="R22" s="53"/>
      <c r="S22" s="53"/>
      <c r="T22" s="53"/>
      <c r="U22" s="53"/>
      <c r="V22" s="57"/>
      <c r="W22" s="40">
        <f t="shared" si="1"/>
        <v>687500</v>
      </c>
      <c r="X22" s="40">
        <f t="shared" si="2"/>
        <v>2062500</v>
      </c>
      <c r="Y22" s="273">
        <f t="shared" si="4"/>
        <v>2750000</v>
      </c>
      <c r="Z22" s="86"/>
      <c r="AA22" s="86" t="s">
        <v>70</v>
      </c>
      <c r="AB22" s="87" t="s">
        <v>71</v>
      </c>
    </row>
    <row r="23" spans="1:37" ht="50.25" customHeight="1" x14ac:dyDescent="0.3">
      <c r="A23" s="45">
        <v>16</v>
      </c>
      <c r="B23" s="88" t="s">
        <v>72</v>
      </c>
      <c r="C23" s="56"/>
      <c r="D23" s="56"/>
      <c r="E23" s="276">
        <f>25700062+5496600</f>
        <v>31196662</v>
      </c>
      <c r="F23" s="36">
        <f t="shared" si="3"/>
        <v>7470651</v>
      </c>
      <c r="G23" s="47">
        <f>'[1]Old Working'!L51</f>
        <v>23726011</v>
      </c>
      <c r="H23" s="38">
        <v>0</v>
      </c>
      <c r="I23" s="48">
        <f t="shared" si="0"/>
        <v>23726011</v>
      </c>
      <c r="J23" s="49">
        <v>0</v>
      </c>
      <c r="K23" s="40">
        <v>1254829</v>
      </c>
      <c r="L23" s="82">
        <v>2017195</v>
      </c>
      <c r="M23" s="89"/>
      <c r="N23" s="89">
        <v>0</v>
      </c>
      <c r="O23" s="38">
        <f>1709426</f>
        <v>1709426</v>
      </c>
      <c r="P23" s="38">
        <v>742587</v>
      </c>
      <c r="Q23" s="52"/>
      <c r="R23" s="38"/>
      <c r="S23" s="38"/>
      <c r="T23" s="38">
        <v>0</v>
      </c>
      <c r="U23" s="90"/>
      <c r="V23" s="91"/>
      <c r="W23" s="40">
        <f t="shared" si="1"/>
        <v>5724037</v>
      </c>
      <c r="X23" s="40">
        <f t="shared" si="2"/>
        <v>7470651</v>
      </c>
      <c r="Y23" s="273">
        <f t="shared" si="4"/>
        <v>13194688</v>
      </c>
      <c r="Z23" s="58"/>
      <c r="AA23" s="58" t="s">
        <v>73</v>
      </c>
      <c r="AB23" s="59" t="s">
        <v>74</v>
      </c>
    </row>
    <row r="24" spans="1:37" ht="50.25" customHeight="1" x14ac:dyDescent="0.3">
      <c r="A24" s="34">
        <v>17</v>
      </c>
      <c r="B24" s="46" t="s">
        <v>75</v>
      </c>
      <c r="C24" s="46"/>
      <c r="D24" s="46"/>
      <c r="E24" s="276">
        <f>73000000</f>
        <v>73000000</v>
      </c>
      <c r="F24" s="89">
        <f>E24-G24</f>
        <v>44279628</v>
      </c>
      <c r="G24" s="47">
        <f>76000000-47279628</f>
        <v>28720372</v>
      </c>
      <c r="H24" s="38">
        <v>0</v>
      </c>
      <c r="I24" s="48">
        <f t="shared" si="0"/>
        <v>28720372</v>
      </c>
      <c r="J24" s="49"/>
      <c r="K24" s="40"/>
      <c r="L24" s="40"/>
      <c r="M24" s="40"/>
      <c r="N24" s="92">
        <v>411862.5</v>
      </c>
      <c r="O24" s="90">
        <f>1867500+53250+64050</f>
        <v>1984800</v>
      </c>
      <c r="P24" s="90"/>
      <c r="Q24" s="53">
        <f>285956+53250+56625</f>
        <v>395831</v>
      </c>
      <c r="R24" s="40"/>
      <c r="S24" s="40"/>
      <c r="T24" s="40"/>
      <c r="U24" s="40"/>
      <c r="V24" s="40"/>
      <c r="W24" s="40">
        <f t="shared" si="1"/>
        <v>2792493.5</v>
      </c>
      <c r="X24" s="40">
        <f t="shared" si="2"/>
        <v>44279628</v>
      </c>
      <c r="Y24" s="273">
        <f t="shared" si="4"/>
        <v>47072121.5</v>
      </c>
      <c r="Z24" s="50"/>
      <c r="AA24" s="50" t="s">
        <v>73</v>
      </c>
      <c r="AB24" s="51" t="s">
        <v>76</v>
      </c>
    </row>
    <row r="25" spans="1:37" ht="50.25" customHeight="1" x14ac:dyDescent="0.3">
      <c r="A25" s="45">
        <v>20</v>
      </c>
      <c r="B25" s="46" t="s">
        <v>77</v>
      </c>
      <c r="C25" s="46"/>
      <c r="D25" s="46"/>
      <c r="E25" s="276">
        <f>20680085</f>
        <v>20680085</v>
      </c>
      <c r="F25" s="36">
        <f>E25-G25</f>
        <v>16246740</v>
      </c>
      <c r="G25" s="47">
        <f>4433345</f>
        <v>4433345</v>
      </c>
      <c r="H25" s="38">
        <v>0</v>
      </c>
      <c r="I25" s="48">
        <f t="shared" si="0"/>
        <v>4433345</v>
      </c>
      <c r="J25" s="49"/>
      <c r="K25" s="40"/>
      <c r="L25" s="40"/>
      <c r="M25" s="40">
        <v>4433345</v>
      </c>
      <c r="N25" s="40"/>
      <c r="O25" s="40"/>
      <c r="P25" s="40"/>
      <c r="Q25" s="41"/>
      <c r="R25" s="40"/>
      <c r="S25" s="40"/>
      <c r="T25" s="40"/>
      <c r="U25" s="40"/>
      <c r="V25" s="42"/>
      <c r="W25" s="40">
        <f>SUM(J25:Q25)-SUM(R25:V25)</f>
        <v>4433345</v>
      </c>
      <c r="X25" s="40">
        <f t="shared" si="2"/>
        <v>16246740</v>
      </c>
      <c r="Y25" s="273">
        <f t="shared" si="4"/>
        <v>20680085</v>
      </c>
      <c r="Z25" s="93"/>
      <c r="AA25" s="93" t="s">
        <v>73</v>
      </c>
      <c r="AB25" s="94" t="s">
        <v>78</v>
      </c>
    </row>
    <row r="26" spans="1:37" ht="50.25" customHeight="1" x14ac:dyDescent="0.3">
      <c r="A26" s="34">
        <v>21</v>
      </c>
      <c r="B26" s="46" t="s">
        <v>79</v>
      </c>
      <c r="C26" s="46"/>
      <c r="D26" s="46"/>
      <c r="E26" s="276">
        <v>3018195</v>
      </c>
      <c r="F26" s="36">
        <f t="shared" si="3"/>
        <v>2317975</v>
      </c>
      <c r="G26" s="47">
        <v>700220</v>
      </c>
      <c r="H26" s="38">
        <v>0</v>
      </c>
      <c r="I26" s="48">
        <f t="shared" si="0"/>
        <v>700220</v>
      </c>
      <c r="J26" s="84"/>
      <c r="K26" s="53"/>
      <c r="L26" s="53"/>
      <c r="M26" s="40"/>
      <c r="N26" s="40"/>
      <c r="O26" s="53"/>
      <c r="P26" s="53"/>
      <c r="Q26" s="41"/>
      <c r="R26" s="53"/>
      <c r="S26" s="53"/>
      <c r="T26" s="53"/>
      <c r="U26" s="53"/>
      <c r="V26" s="57"/>
      <c r="W26" s="40">
        <f t="shared" si="1"/>
        <v>0</v>
      </c>
      <c r="X26" s="40">
        <f t="shared" si="2"/>
        <v>2317975</v>
      </c>
      <c r="Y26" s="273">
        <f t="shared" si="4"/>
        <v>2317975</v>
      </c>
      <c r="Z26" s="58"/>
      <c r="AA26" s="58" t="s">
        <v>37</v>
      </c>
      <c r="AB26" s="59"/>
    </row>
    <row r="27" spans="1:37" ht="50.25" customHeight="1" x14ac:dyDescent="0.3">
      <c r="A27" s="45">
        <v>22</v>
      </c>
      <c r="B27" s="46" t="s">
        <v>80</v>
      </c>
      <c r="C27" s="46"/>
      <c r="D27" s="46"/>
      <c r="E27" s="276">
        <v>5232770</v>
      </c>
      <c r="F27" s="36">
        <f t="shared" si="3"/>
        <v>2902732</v>
      </c>
      <c r="G27" s="47">
        <v>2330038</v>
      </c>
      <c r="H27" s="38">
        <v>0</v>
      </c>
      <c r="I27" s="48">
        <f t="shared" si="0"/>
        <v>2330038</v>
      </c>
      <c r="J27" s="84"/>
      <c r="K27" s="53"/>
      <c r="L27" s="53"/>
      <c r="M27" s="40"/>
      <c r="N27" s="40"/>
      <c r="O27" s="53"/>
      <c r="P27" s="53"/>
      <c r="Q27" s="41"/>
      <c r="R27" s="53"/>
      <c r="S27" s="53"/>
      <c r="T27" s="53"/>
      <c r="U27" s="53"/>
      <c r="V27" s="57"/>
      <c r="W27" s="40">
        <f t="shared" si="1"/>
        <v>0</v>
      </c>
      <c r="X27" s="40">
        <f t="shared" si="2"/>
        <v>2902732</v>
      </c>
      <c r="Y27" s="273">
        <f t="shared" si="4"/>
        <v>2902732</v>
      </c>
      <c r="Z27" s="58"/>
      <c r="AA27" s="58" t="s">
        <v>37</v>
      </c>
      <c r="AB27" s="59"/>
      <c r="AG27" s="95"/>
      <c r="AH27" s="95"/>
      <c r="AJ27" s="95"/>
      <c r="AK27" s="95"/>
    </row>
    <row r="28" spans="1:37" ht="50.25" customHeight="1" x14ac:dyDescent="0.3">
      <c r="A28" s="34">
        <v>18</v>
      </c>
      <c r="B28" s="88" t="s">
        <v>81</v>
      </c>
      <c r="C28" s="56"/>
      <c r="D28" s="56"/>
      <c r="E28" s="276">
        <v>10788650</v>
      </c>
      <c r="F28" s="36">
        <f t="shared" ref="F28:F33" si="5">E28-G28-H28</f>
        <v>0</v>
      </c>
      <c r="G28" s="96">
        <v>0</v>
      </c>
      <c r="H28" s="97">
        <v>10788650</v>
      </c>
      <c r="I28" s="48">
        <f t="shared" si="0"/>
        <v>10788650</v>
      </c>
      <c r="J28" s="49">
        <v>0</v>
      </c>
      <c r="K28" s="49">
        <v>3385398</v>
      </c>
      <c r="L28" s="38">
        <v>583224</v>
      </c>
      <c r="M28" s="89">
        <v>11281</v>
      </c>
      <c r="N28" s="89">
        <f>911140-360278</f>
        <v>550862</v>
      </c>
      <c r="O28" s="38">
        <v>185914</v>
      </c>
      <c r="P28" s="38"/>
      <c r="Q28" s="52">
        <f>309498+185914+228365</f>
        <v>723777</v>
      </c>
      <c r="R28" s="38">
        <v>583224</v>
      </c>
      <c r="S28" s="38"/>
      <c r="T28" s="38"/>
      <c r="U28" s="90"/>
      <c r="V28" s="98">
        <v>185914</v>
      </c>
      <c r="W28" s="40">
        <f t="shared" si="1"/>
        <v>4671318</v>
      </c>
      <c r="X28" s="40">
        <f t="shared" si="2"/>
        <v>0</v>
      </c>
      <c r="Y28" s="273">
        <f t="shared" si="4"/>
        <v>4671318</v>
      </c>
      <c r="Z28" s="58" t="s">
        <v>50</v>
      </c>
      <c r="AA28" s="99" t="s">
        <v>82</v>
      </c>
      <c r="AB28" s="83" t="s">
        <v>83</v>
      </c>
      <c r="AH28" s="100"/>
      <c r="AK28" s="100"/>
    </row>
    <row r="29" spans="1:37" ht="50.25" customHeight="1" x14ac:dyDescent="0.3">
      <c r="A29" s="45">
        <v>19</v>
      </c>
      <c r="B29" s="88" t="s">
        <v>84</v>
      </c>
      <c r="C29" s="56"/>
      <c r="D29" s="56"/>
      <c r="E29" s="276">
        <v>5232900</v>
      </c>
      <c r="F29" s="36">
        <f t="shared" si="5"/>
        <v>0</v>
      </c>
      <c r="G29" s="96">
        <v>0</v>
      </c>
      <c r="H29" s="97">
        <f>3700000+1532900</f>
        <v>5232900</v>
      </c>
      <c r="I29" s="48">
        <f t="shared" si="0"/>
        <v>5232900</v>
      </c>
      <c r="J29" s="49" t="s">
        <v>9</v>
      </c>
      <c r="K29" s="40">
        <v>1376859</v>
      </c>
      <c r="L29" s="38">
        <v>300933</v>
      </c>
      <c r="M29" s="89"/>
      <c r="N29" s="89">
        <v>219678</v>
      </c>
      <c r="O29" s="38">
        <v>1934090</v>
      </c>
      <c r="P29" s="38"/>
      <c r="Q29" s="52">
        <f>182498+165482</f>
        <v>347980</v>
      </c>
      <c r="R29" s="38"/>
      <c r="S29" s="38"/>
      <c r="T29" s="38"/>
      <c r="U29" s="90"/>
      <c r="V29" s="91"/>
      <c r="W29" s="40">
        <f t="shared" si="1"/>
        <v>4179540</v>
      </c>
      <c r="X29" s="40">
        <f t="shared" si="2"/>
        <v>0</v>
      </c>
      <c r="Y29" s="273">
        <f t="shared" si="4"/>
        <v>4179540</v>
      </c>
      <c r="Z29" s="58"/>
      <c r="AA29" s="58" t="s">
        <v>56</v>
      </c>
      <c r="AB29" s="83" t="s">
        <v>85</v>
      </c>
      <c r="AH29" s="100"/>
      <c r="AK29" s="100"/>
    </row>
    <row r="30" spans="1:37" ht="50.25" customHeight="1" x14ac:dyDescent="0.3">
      <c r="A30" s="34">
        <v>20</v>
      </c>
      <c r="B30" s="46" t="s">
        <v>86</v>
      </c>
      <c r="C30" s="56"/>
      <c r="D30" s="56"/>
      <c r="E30" s="276">
        <v>5247334</v>
      </c>
      <c r="F30" s="36">
        <f t="shared" si="5"/>
        <v>0</v>
      </c>
      <c r="G30" s="96">
        <v>0</v>
      </c>
      <c r="H30" s="97">
        <v>5247334</v>
      </c>
      <c r="I30" s="48">
        <f t="shared" si="0"/>
        <v>5247334</v>
      </c>
      <c r="J30" s="49" t="s">
        <v>9</v>
      </c>
      <c r="K30" s="40">
        <v>2191333</v>
      </c>
      <c r="L30" s="38">
        <v>490918</v>
      </c>
      <c r="M30" s="89"/>
      <c r="N30" s="89">
        <v>625792</v>
      </c>
      <c r="O30" s="38">
        <v>567165</v>
      </c>
      <c r="P30" s="38"/>
      <c r="Q30" s="52">
        <v>208134</v>
      </c>
      <c r="R30" s="38">
        <v>490918</v>
      </c>
      <c r="S30" s="38"/>
      <c r="T30" s="38"/>
      <c r="U30" s="90"/>
      <c r="V30" s="91"/>
      <c r="W30" s="40">
        <f t="shared" si="1"/>
        <v>3592424</v>
      </c>
      <c r="X30" s="40">
        <f t="shared" si="2"/>
        <v>0</v>
      </c>
      <c r="Y30" s="273">
        <f t="shared" si="4"/>
        <v>3592424</v>
      </c>
      <c r="Z30" s="58"/>
      <c r="AA30" s="99" t="s">
        <v>82</v>
      </c>
      <c r="AB30" s="83" t="s">
        <v>83</v>
      </c>
      <c r="AH30" s="100"/>
      <c r="AK30" s="100"/>
    </row>
    <row r="31" spans="1:37" ht="50.25" customHeight="1" x14ac:dyDescent="0.3">
      <c r="A31" s="45">
        <v>21</v>
      </c>
      <c r="B31" s="46" t="s">
        <v>87</v>
      </c>
      <c r="C31" s="46"/>
      <c r="D31" s="46"/>
      <c r="E31" s="276">
        <v>2728200</v>
      </c>
      <c r="F31" s="36">
        <f t="shared" si="5"/>
        <v>0</v>
      </c>
      <c r="G31" s="101">
        <v>0</v>
      </c>
      <c r="H31" s="97">
        <v>2728200</v>
      </c>
      <c r="I31" s="48">
        <f t="shared" si="0"/>
        <v>2728200</v>
      </c>
      <c r="J31" s="49"/>
      <c r="K31" s="40"/>
      <c r="L31" s="40"/>
      <c r="M31" s="40"/>
      <c r="N31" s="40"/>
      <c r="O31" s="96">
        <v>236577</v>
      </c>
      <c r="P31" s="40"/>
      <c r="Q31" s="41">
        <v>840924</v>
      </c>
      <c r="R31" s="40"/>
      <c r="S31" s="40"/>
      <c r="T31" s="40"/>
      <c r="U31" s="40"/>
      <c r="V31" s="42"/>
      <c r="W31" s="40">
        <f t="shared" si="1"/>
        <v>1077501</v>
      </c>
      <c r="X31" s="40">
        <f t="shared" si="2"/>
        <v>0</v>
      </c>
      <c r="Y31" s="273">
        <f t="shared" si="4"/>
        <v>1077501</v>
      </c>
      <c r="Z31" s="50"/>
      <c r="AA31" s="50" t="s">
        <v>40</v>
      </c>
      <c r="AB31" s="51"/>
      <c r="AH31" s="100"/>
    </row>
    <row r="32" spans="1:37" s="115" customFormat="1" ht="50.25" hidden="1" customHeight="1" x14ac:dyDescent="0.3">
      <c r="A32" s="102">
        <v>27</v>
      </c>
      <c r="B32" s="103" t="s">
        <v>88</v>
      </c>
      <c r="C32" s="104"/>
      <c r="D32" s="104"/>
      <c r="E32" s="279">
        <v>230765</v>
      </c>
      <c r="F32" s="105">
        <f t="shared" si="5"/>
        <v>0</v>
      </c>
      <c r="G32" s="106">
        <v>0</v>
      </c>
      <c r="H32" s="107">
        <f>120765+110000</f>
        <v>230765</v>
      </c>
      <c r="I32" s="108">
        <f t="shared" si="0"/>
        <v>230765</v>
      </c>
      <c r="J32" s="109">
        <v>55100</v>
      </c>
      <c r="K32" s="110">
        <v>-55000</v>
      </c>
      <c r="L32" s="110"/>
      <c r="M32" s="110"/>
      <c r="N32" s="110"/>
      <c r="O32" s="110"/>
      <c r="P32" s="110"/>
      <c r="Q32" s="111"/>
      <c r="R32" s="110"/>
      <c r="S32" s="110"/>
      <c r="T32" s="110"/>
      <c r="U32" s="110"/>
      <c r="V32" s="110"/>
      <c r="W32" s="112">
        <f t="shared" si="1"/>
        <v>100</v>
      </c>
      <c r="X32" s="112">
        <f t="shared" si="2"/>
        <v>0</v>
      </c>
      <c r="Y32" s="273">
        <f t="shared" si="4"/>
        <v>100</v>
      </c>
      <c r="Z32" s="113"/>
      <c r="AA32" s="113" t="s">
        <v>89</v>
      </c>
      <c r="AB32" s="114" t="s">
        <v>90</v>
      </c>
    </row>
    <row r="33" spans="1:34" s="128" customFormat="1" ht="50.25" hidden="1" customHeight="1" x14ac:dyDescent="0.3">
      <c r="A33" s="116">
        <v>22</v>
      </c>
      <c r="B33" s="117" t="s">
        <v>91</v>
      </c>
      <c r="C33" s="118">
        <v>0</v>
      </c>
      <c r="D33" s="118"/>
      <c r="E33" s="279">
        <v>10920</v>
      </c>
      <c r="F33" s="36">
        <f t="shared" si="5"/>
        <v>0</v>
      </c>
      <c r="G33" s="119">
        <v>0</v>
      </c>
      <c r="H33" s="120">
        <v>10920</v>
      </c>
      <c r="I33" s="121">
        <f t="shared" si="0"/>
        <v>10920</v>
      </c>
      <c r="J33" s="122">
        <v>10920</v>
      </c>
      <c r="K33" s="123">
        <v>0</v>
      </c>
      <c r="L33" s="123">
        <v>0</v>
      </c>
      <c r="M33" s="123"/>
      <c r="N33" s="123"/>
      <c r="O33" s="123"/>
      <c r="P33" s="123"/>
      <c r="Q33" s="124"/>
      <c r="R33" s="123"/>
      <c r="S33" s="123"/>
      <c r="T33" s="123"/>
      <c r="U33" s="123"/>
      <c r="V33" s="125"/>
      <c r="W33" s="40">
        <f t="shared" si="1"/>
        <v>10920</v>
      </c>
      <c r="X33" s="40">
        <f t="shared" si="2"/>
        <v>0</v>
      </c>
      <c r="Y33" s="273">
        <f t="shared" si="4"/>
        <v>10920</v>
      </c>
      <c r="Z33" s="126"/>
      <c r="AA33" s="126"/>
      <c r="AB33" s="127" t="s">
        <v>78</v>
      </c>
      <c r="AH33" s="129"/>
    </row>
    <row r="34" spans="1:34" ht="50.25" hidden="1" customHeight="1" x14ac:dyDescent="0.3">
      <c r="A34" s="34">
        <v>28</v>
      </c>
      <c r="B34" s="46" t="s">
        <v>92</v>
      </c>
      <c r="C34" s="46"/>
      <c r="D34" s="46"/>
      <c r="E34" s="276">
        <v>17990</v>
      </c>
      <c r="F34" s="36">
        <f t="shared" si="3"/>
        <v>0</v>
      </c>
      <c r="G34" s="101">
        <v>17990</v>
      </c>
      <c r="H34" s="97">
        <v>0</v>
      </c>
      <c r="I34" s="48">
        <f t="shared" si="0"/>
        <v>17990</v>
      </c>
      <c r="J34" s="84">
        <v>17990</v>
      </c>
      <c r="K34" s="40"/>
      <c r="L34" s="40"/>
      <c r="M34" s="40"/>
      <c r="N34" s="40"/>
      <c r="O34" s="40"/>
      <c r="P34" s="40"/>
      <c r="Q34" s="41"/>
      <c r="R34" s="40"/>
      <c r="S34" s="40"/>
      <c r="T34" s="40"/>
      <c r="U34" s="40"/>
      <c r="V34" s="42"/>
      <c r="W34" s="40">
        <f t="shared" si="1"/>
        <v>17990</v>
      </c>
      <c r="X34" s="40">
        <f t="shared" si="2"/>
        <v>0</v>
      </c>
      <c r="Y34" s="273">
        <f t="shared" si="4"/>
        <v>17990</v>
      </c>
      <c r="Z34" s="76"/>
      <c r="AA34" s="76" t="s">
        <v>89</v>
      </c>
      <c r="AB34" s="130" t="s">
        <v>78</v>
      </c>
      <c r="AH34" s="55"/>
    </row>
    <row r="35" spans="1:34" ht="50.25" hidden="1" customHeight="1" x14ac:dyDescent="0.3">
      <c r="A35" s="34">
        <v>29</v>
      </c>
      <c r="B35" s="46" t="s">
        <v>93</v>
      </c>
      <c r="C35" s="46"/>
      <c r="D35" s="46"/>
      <c r="E35" s="276">
        <v>17990</v>
      </c>
      <c r="F35" s="36">
        <f t="shared" si="3"/>
        <v>-9010</v>
      </c>
      <c r="G35" s="101">
        <v>27000</v>
      </c>
      <c r="H35" s="97">
        <v>0</v>
      </c>
      <c r="I35" s="131">
        <f t="shared" si="0"/>
        <v>27000</v>
      </c>
      <c r="J35" s="84">
        <v>27000</v>
      </c>
      <c r="K35" s="40">
        <v>0</v>
      </c>
      <c r="L35" s="40"/>
      <c r="M35" s="40"/>
      <c r="N35" s="40"/>
      <c r="O35" s="40"/>
      <c r="P35" s="40"/>
      <c r="Q35" s="41"/>
      <c r="R35" s="40"/>
      <c r="S35" s="40"/>
      <c r="T35" s="40"/>
      <c r="U35" s="40"/>
      <c r="V35" s="42"/>
      <c r="W35" s="40">
        <f t="shared" si="1"/>
        <v>27000</v>
      </c>
      <c r="X35" s="40">
        <f t="shared" si="2"/>
        <v>-9010</v>
      </c>
      <c r="Y35" s="273">
        <f t="shared" si="4"/>
        <v>17990</v>
      </c>
      <c r="Z35" s="76"/>
      <c r="AA35" s="76" t="s">
        <v>60</v>
      </c>
      <c r="AB35" s="130" t="s">
        <v>78</v>
      </c>
      <c r="AH35" s="55"/>
    </row>
    <row r="36" spans="1:34" ht="50.25" customHeight="1" x14ac:dyDescent="0.3">
      <c r="A36" s="45">
        <v>30</v>
      </c>
      <c r="B36" s="46" t="s">
        <v>57</v>
      </c>
      <c r="C36" s="46"/>
      <c r="D36" s="46"/>
      <c r="E36" s="276">
        <v>184741</v>
      </c>
      <c r="F36" s="36">
        <f t="shared" ref="F36:F48" si="6">E36-G36-H36</f>
        <v>0</v>
      </c>
      <c r="G36" s="101">
        <v>0</v>
      </c>
      <c r="H36" s="82">
        <v>184741</v>
      </c>
      <c r="I36" s="47">
        <f t="shared" si="0"/>
        <v>184741</v>
      </c>
      <c r="J36" s="96">
        <f>132710+23850-100</f>
        <v>156460</v>
      </c>
      <c r="K36" s="101">
        <v>0</v>
      </c>
      <c r="L36" s="101"/>
      <c r="M36" s="132"/>
      <c r="N36" s="132"/>
      <c r="O36" s="132"/>
      <c r="P36" s="132"/>
      <c r="Q36" s="41"/>
      <c r="R36" s="132"/>
      <c r="S36" s="132"/>
      <c r="T36" s="132"/>
      <c r="U36" s="40"/>
      <c r="V36" s="42"/>
      <c r="W36" s="40">
        <f t="shared" si="1"/>
        <v>156460</v>
      </c>
      <c r="X36" s="40">
        <f t="shared" si="2"/>
        <v>0</v>
      </c>
      <c r="Y36" s="273">
        <f t="shared" si="4"/>
        <v>156460</v>
      </c>
      <c r="Z36" s="50"/>
      <c r="AA36" s="50" t="s">
        <v>58</v>
      </c>
      <c r="AB36" s="51"/>
      <c r="AH36" s="55"/>
    </row>
    <row r="37" spans="1:34" ht="50.25" customHeight="1" x14ac:dyDescent="0.3">
      <c r="A37" s="133">
        <v>31</v>
      </c>
      <c r="B37" s="134" t="s">
        <v>94</v>
      </c>
      <c r="C37" s="134"/>
      <c r="D37" s="134"/>
      <c r="E37" s="280">
        <f>H37</f>
        <v>1873300</v>
      </c>
      <c r="F37" s="36">
        <f t="shared" si="6"/>
        <v>0</v>
      </c>
      <c r="G37" s="135">
        <v>0</v>
      </c>
      <c r="H37" s="136">
        <f>14410*130</f>
        <v>1873300</v>
      </c>
      <c r="I37" s="47">
        <f t="shared" si="0"/>
        <v>1873300</v>
      </c>
      <c r="J37" s="137">
        <v>360250</v>
      </c>
      <c r="K37" s="137">
        <v>936650</v>
      </c>
      <c r="L37" s="137">
        <v>576400</v>
      </c>
      <c r="M37" s="138"/>
      <c r="N37" s="138"/>
      <c r="O37" s="139"/>
      <c r="P37" s="139"/>
      <c r="Q37" s="140"/>
      <c r="R37" s="139"/>
      <c r="S37" s="139"/>
      <c r="T37" s="139"/>
      <c r="U37" s="141"/>
      <c r="V37" s="142"/>
      <c r="W37" s="40">
        <f t="shared" si="1"/>
        <v>1873300</v>
      </c>
      <c r="X37" s="40">
        <f t="shared" si="2"/>
        <v>0</v>
      </c>
      <c r="Y37" s="273">
        <f t="shared" si="4"/>
        <v>1873300</v>
      </c>
      <c r="Z37" s="143"/>
      <c r="AA37" s="143" t="s">
        <v>95</v>
      </c>
      <c r="AB37" s="144" t="s">
        <v>78</v>
      </c>
      <c r="AH37" s="55"/>
    </row>
    <row r="38" spans="1:34" ht="50.25" customHeight="1" x14ac:dyDescent="0.3">
      <c r="A38" s="46">
        <v>32</v>
      </c>
      <c r="B38" s="46" t="s">
        <v>96</v>
      </c>
      <c r="C38" s="46" t="s">
        <v>97</v>
      </c>
      <c r="D38" s="46"/>
      <c r="E38" s="276">
        <f>H38</f>
        <v>263090</v>
      </c>
      <c r="F38" s="36">
        <f t="shared" si="6"/>
        <v>0</v>
      </c>
      <c r="G38" s="96">
        <v>0</v>
      </c>
      <c r="H38" s="82">
        <v>263090</v>
      </c>
      <c r="I38" s="47">
        <f t="shared" si="0"/>
        <v>263090</v>
      </c>
      <c r="J38" s="101">
        <v>0</v>
      </c>
      <c r="K38" s="101">
        <v>263090</v>
      </c>
      <c r="L38" s="101"/>
      <c r="M38" s="132"/>
      <c r="N38" s="132"/>
      <c r="O38" s="132"/>
      <c r="P38" s="132"/>
      <c r="Q38" s="41"/>
      <c r="R38" s="132"/>
      <c r="S38" s="132"/>
      <c r="T38" s="132"/>
      <c r="U38" s="40"/>
      <c r="V38" s="42"/>
      <c r="W38" s="40">
        <f t="shared" si="1"/>
        <v>263090</v>
      </c>
      <c r="X38" s="40">
        <f t="shared" si="2"/>
        <v>0</v>
      </c>
      <c r="Y38" s="273">
        <f t="shared" si="4"/>
        <v>263090</v>
      </c>
      <c r="Z38" s="76"/>
      <c r="AA38" s="76" t="s">
        <v>98</v>
      </c>
      <c r="AB38" s="130" t="s">
        <v>78</v>
      </c>
      <c r="AH38" s="55"/>
    </row>
    <row r="39" spans="1:34" ht="50.25" customHeight="1" x14ac:dyDescent="0.3">
      <c r="A39" s="56">
        <v>33</v>
      </c>
      <c r="B39" s="69" t="s">
        <v>99</v>
      </c>
      <c r="C39" s="69" t="s">
        <v>100</v>
      </c>
      <c r="D39" s="69"/>
      <c r="E39" s="276">
        <f>H39</f>
        <v>125000</v>
      </c>
      <c r="F39" s="70">
        <f t="shared" si="6"/>
        <v>0</v>
      </c>
      <c r="G39" s="145">
        <v>0</v>
      </c>
      <c r="H39" s="146">
        <v>125000</v>
      </c>
      <c r="I39" s="147">
        <f t="shared" si="0"/>
        <v>125000</v>
      </c>
      <c r="J39" s="145"/>
      <c r="K39" s="145">
        <v>0</v>
      </c>
      <c r="L39" s="145">
        <v>125000</v>
      </c>
      <c r="M39" s="148"/>
      <c r="N39" s="148"/>
      <c r="O39" s="149"/>
      <c r="P39" s="149"/>
      <c r="Q39" s="41"/>
      <c r="R39" s="149"/>
      <c r="S39" s="149"/>
      <c r="T39" s="149"/>
      <c r="U39" s="41"/>
      <c r="V39" s="41"/>
      <c r="W39" s="75">
        <f t="shared" si="1"/>
        <v>125000</v>
      </c>
      <c r="X39" s="75">
        <f t="shared" si="2"/>
        <v>0</v>
      </c>
      <c r="Y39" s="273">
        <f t="shared" si="4"/>
        <v>125000</v>
      </c>
      <c r="Z39" s="150"/>
      <c r="AA39" s="150"/>
      <c r="AB39" s="151" t="s">
        <v>78</v>
      </c>
      <c r="AH39" s="55"/>
    </row>
    <row r="40" spans="1:34" ht="50.25" customHeight="1" x14ac:dyDescent="0.3">
      <c r="A40" s="134">
        <v>22</v>
      </c>
      <c r="B40" s="152" t="s">
        <v>101</v>
      </c>
      <c r="C40" s="152" t="s">
        <v>102</v>
      </c>
      <c r="D40" s="152"/>
      <c r="E40" s="280">
        <v>8005040</v>
      </c>
      <c r="F40" s="36">
        <f t="shared" si="6"/>
        <v>0</v>
      </c>
      <c r="G40" s="137">
        <v>0</v>
      </c>
      <c r="H40" s="136">
        <v>8005040</v>
      </c>
      <c r="I40" s="153">
        <f t="shared" si="0"/>
        <v>8005040</v>
      </c>
      <c r="J40" s="135"/>
      <c r="K40" s="135"/>
      <c r="L40" s="135"/>
      <c r="M40" s="101">
        <v>3079200</v>
      </c>
      <c r="N40" s="101"/>
      <c r="O40" s="96">
        <v>3869952</v>
      </c>
      <c r="P40" s="96"/>
      <c r="Q40" s="41"/>
      <c r="R40" s="101"/>
      <c r="S40" s="101"/>
      <c r="T40" s="101"/>
      <c r="U40" s="40"/>
      <c r="V40" s="42"/>
      <c r="W40" s="40">
        <f t="shared" si="1"/>
        <v>6949152</v>
      </c>
      <c r="X40" s="40">
        <f t="shared" si="2"/>
        <v>0</v>
      </c>
      <c r="Y40" s="273">
        <f t="shared" si="4"/>
        <v>6949152</v>
      </c>
      <c r="Z40" s="154"/>
      <c r="AA40" s="154"/>
      <c r="AB40" s="155"/>
      <c r="AH40" s="55"/>
    </row>
    <row r="41" spans="1:34" ht="50.25" customHeight="1" x14ac:dyDescent="0.3">
      <c r="A41" s="46">
        <v>35</v>
      </c>
      <c r="B41" s="46" t="s">
        <v>103</v>
      </c>
      <c r="C41" s="46"/>
      <c r="D41" s="46"/>
      <c r="E41" s="276">
        <v>1050457</v>
      </c>
      <c r="F41" s="36">
        <f t="shared" si="6"/>
        <v>0</v>
      </c>
      <c r="G41" s="101">
        <v>0</v>
      </c>
      <c r="H41" s="82">
        <f>494867+555590</f>
        <v>1050457</v>
      </c>
      <c r="I41" s="47">
        <f t="shared" si="0"/>
        <v>1050457</v>
      </c>
      <c r="J41" s="101"/>
      <c r="K41" s="101"/>
      <c r="L41" s="101"/>
      <c r="M41" s="101"/>
      <c r="N41" s="101">
        <f>425481+323402+329278</f>
        <v>1078161</v>
      </c>
      <c r="O41" s="96"/>
      <c r="P41" s="96"/>
      <c r="Q41" s="41"/>
      <c r="R41" s="101"/>
      <c r="S41" s="101">
        <v>329278</v>
      </c>
      <c r="T41" s="101"/>
      <c r="U41" s="40"/>
      <c r="V41" s="42"/>
      <c r="W41" s="40">
        <f t="shared" si="1"/>
        <v>748883</v>
      </c>
      <c r="X41" s="40">
        <f t="shared" si="2"/>
        <v>0</v>
      </c>
      <c r="Y41" s="273">
        <f t="shared" si="4"/>
        <v>748883</v>
      </c>
      <c r="Z41" s="50"/>
      <c r="AA41" s="50"/>
      <c r="AB41" s="64" t="s">
        <v>104</v>
      </c>
      <c r="AH41" s="55"/>
    </row>
    <row r="42" spans="1:34" ht="50.25" hidden="1" customHeight="1" x14ac:dyDescent="0.3">
      <c r="A42" s="46">
        <v>36</v>
      </c>
      <c r="B42" s="88" t="s">
        <v>105</v>
      </c>
      <c r="C42" s="46" t="s">
        <v>9</v>
      </c>
      <c r="D42" s="46"/>
      <c r="E42" s="276">
        <f>H42</f>
        <v>10000</v>
      </c>
      <c r="F42" s="36">
        <f t="shared" si="6"/>
        <v>0</v>
      </c>
      <c r="G42" s="101">
        <v>0</v>
      </c>
      <c r="H42" s="82">
        <v>10000</v>
      </c>
      <c r="I42" s="47">
        <f t="shared" si="0"/>
        <v>10000</v>
      </c>
      <c r="J42" s="101"/>
      <c r="K42" s="101"/>
      <c r="L42" s="96">
        <v>10000</v>
      </c>
      <c r="M42" s="101"/>
      <c r="N42" s="132"/>
      <c r="O42" s="156"/>
      <c r="P42" s="156"/>
      <c r="Q42" s="41"/>
      <c r="R42" s="156"/>
      <c r="S42" s="156"/>
      <c r="T42" s="156"/>
      <c r="U42" s="53"/>
      <c r="V42" s="57"/>
      <c r="W42" s="40">
        <f t="shared" si="1"/>
        <v>10000</v>
      </c>
      <c r="X42" s="40">
        <f t="shared" si="2"/>
        <v>0</v>
      </c>
      <c r="Y42" s="273">
        <f t="shared" si="4"/>
        <v>10000</v>
      </c>
      <c r="Z42" s="93"/>
      <c r="AA42" s="93"/>
      <c r="AB42" s="94" t="s">
        <v>78</v>
      </c>
      <c r="AH42" s="55"/>
    </row>
    <row r="43" spans="1:34" ht="50.25" hidden="1" customHeight="1" x14ac:dyDescent="0.3">
      <c r="A43" s="46">
        <v>37</v>
      </c>
      <c r="B43" s="46" t="s">
        <v>106</v>
      </c>
      <c r="C43" s="46" t="s">
        <v>9</v>
      </c>
      <c r="D43" s="46"/>
      <c r="E43" s="276">
        <f>H43</f>
        <v>197750</v>
      </c>
      <c r="F43" s="36">
        <f t="shared" si="6"/>
        <v>0</v>
      </c>
      <c r="G43" s="101">
        <v>0</v>
      </c>
      <c r="H43" s="82">
        <f>5250+192500</f>
        <v>197750</v>
      </c>
      <c r="I43" s="47">
        <f t="shared" si="0"/>
        <v>197750</v>
      </c>
      <c r="J43" s="101"/>
      <c r="K43" s="101"/>
      <c r="L43" s="96">
        <v>5250</v>
      </c>
      <c r="M43" s="101">
        <v>192500</v>
      </c>
      <c r="N43" s="132"/>
      <c r="O43" s="156"/>
      <c r="P43" s="156"/>
      <c r="Q43" s="41"/>
      <c r="R43" s="156"/>
      <c r="S43" s="156"/>
      <c r="T43" s="156"/>
      <c r="U43" s="53"/>
      <c r="V43" s="57"/>
      <c r="W43" s="40">
        <f t="shared" si="1"/>
        <v>197750</v>
      </c>
      <c r="X43" s="40">
        <f t="shared" si="2"/>
        <v>0</v>
      </c>
      <c r="Y43" s="273">
        <f t="shared" si="4"/>
        <v>197750</v>
      </c>
      <c r="Z43" s="93"/>
      <c r="AA43" s="93"/>
      <c r="AB43" s="94" t="s">
        <v>78</v>
      </c>
      <c r="AH43" s="55"/>
    </row>
    <row r="44" spans="1:34" ht="50.25" customHeight="1" x14ac:dyDescent="0.3">
      <c r="A44" s="46">
        <v>23</v>
      </c>
      <c r="B44" s="157" t="s">
        <v>107</v>
      </c>
      <c r="C44" s="46">
        <v>4900000812</v>
      </c>
      <c r="D44" s="46"/>
      <c r="E44" s="276">
        <v>7400000</v>
      </c>
      <c r="F44" s="36">
        <f t="shared" si="6"/>
        <v>0</v>
      </c>
      <c r="G44" s="101"/>
      <c r="H44" s="158">
        <v>7400000</v>
      </c>
      <c r="I44" s="47">
        <f t="shared" si="0"/>
        <v>7400000</v>
      </c>
      <c r="J44" s="101"/>
      <c r="K44" s="101"/>
      <c r="L44" s="96"/>
      <c r="M44" s="101"/>
      <c r="N44" s="101"/>
      <c r="O44" s="96"/>
      <c r="P44" s="96"/>
      <c r="Q44" s="41">
        <v>1816482</v>
      </c>
      <c r="R44" s="96"/>
      <c r="S44" s="156"/>
      <c r="T44" s="156"/>
      <c r="U44" s="53"/>
      <c r="V44" s="57"/>
      <c r="W44" s="40">
        <f t="shared" si="1"/>
        <v>1816482</v>
      </c>
      <c r="X44" s="40">
        <f t="shared" si="2"/>
        <v>0</v>
      </c>
      <c r="Y44" s="273">
        <f t="shared" si="4"/>
        <v>1816482</v>
      </c>
      <c r="Z44" s="50"/>
      <c r="AA44" s="50"/>
      <c r="AB44" s="51"/>
      <c r="AH44" s="55"/>
    </row>
    <row r="45" spans="1:34" ht="50.25" hidden="1" customHeight="1" x14ac:dyDescent="0.3">
      <c r="A45" s="46">
        <v>25</v>
      </c>
      <c r="B45" s="159" t="s">
        <v>108</v>
      </c>
      <c r="C45" s="157">
        <v>4561970433</v>
      </c>
      <c r="D45" s="157"/>
      <c r="E45" s="281">
        <f>H45</f>
        <v>10000</v>
      </c>
      <c r="F45" s="36">
        <f t="shared" si="6"/>
        <v>0</v>
      </c>
      <c r="G45" s="101"/>
      <c r="H45" s="82">
        <v>10000</v>
      </c>
      <c r="I45" s="47">
        <f t="shared" si="0"/>
        <v>10000</v>
      </c>
      <c r="J45" s="101"/>
      <c r="K45" s="101"/>
      <c r="L45" s="96"/>
      <c r="M45" s="101"/>
      <c r="N45" s="101"/>
      <c r="O45" s="96"/>
      <c r="P45" s="96"/>
      <c r="Q45" s="41"/>
      <c r="R45" s="96"/>
      <c r="S45" s="156"/>
      <c r="T45" s="156"/>
      <c r="U45" s="53"/>
      <c r="V45" s="57"/>
      <c r="W45" s="40">
        <f t="shared" si="1"/>
        <v>0</v>
      </c>
      <c r="X45" s="40">
        <f t="shared" si="2"/>
        <v>0</v>
      </c>
      <c r="Y45" s="273">
        <f t="shared" si="4"/>
        <v>0</v>
      </c>
      <c r="Z45" s="50"/>
      <c r="AA45" s="50"/>
      <c r="AB45" s="51"/>
      <c r="AH45" s="55"/>
    </row>
    <row r="46" spans="1:34" ht="50.25" hidden="1" customHeight="1" x14ac:dyDescent="0.3">
      <c r="A46" s="46">
        <v>26</v>
      </c>
      <c r="B46" s="56" t="s">
        <v>109</v>
      </c>
      <c r="C46" s="46">
        <v>4561931385</v>
      </c>
      <c r="D46" s="46"/>
      <c r="E46" s="276">
        <f>H46</f>
        <v>20000</v>
      </c>
      <c r="F46" s="36">
        <f t="shared" si="6"/>
        <v>0</v>
      </c>
      <c r="G46" s="101"/>
      <c r="H46" s="82">
        <v>20000</v>
      </c>
      <c r="I46" s="47">
        <f t="shared" si="0"/>
        <v>20000</v>
      </c>
      <c r="J46" s="101"/>
      <c r="K46" s="101"/>
      <c r="L46" s="96"/>
      <c r="M46" s="101"/>
      <c r="N46" s="101"/>
      <c r="O46" s="96"/>
      <c r="P46" s="96"/>
      <c r="Q46" s="41"/>
      <c r="R46" s="96"/>
      <c r="S46" s="156"/>
      <c r="T46" s="156"/>
      <c r="U46" s="53"/>
      <c r="V46" s="57"/>
      <c r="W46" s="40">
        <f t="shared" si="1"/>
        <v>0</v>
      </c>
      <c r="X46" s="40">
        <f t="shared" si="2"/>
        <v>0</v>
      </c>
      <c r="Y46" s="273">
        <f t="shared" si="4"/>
        <v>0</v>
      </c>
      <c r="Z46" s="50"/>
      <c r="AA46" s="50"/>
      <c r="AB46" s="51"/>
      <c r="AH46" s="55"/>
    </row>
    <row r="47" spans="1:34" ht="50.25" customHeight="1" x14ac:dyDescent="0.3">
      <c r="A47" s="69">
        <v>24</v>
      </c>
      <c r="B47" s="160" t="s">
        <v>110</v>
      </c>
      <c r="C47" s="69">
        <v>4561964158</v>
      </c>
      <c r="D47" s="69"/>
      <c r="E47" s="276">
        <v>1430300</v>
      </c>
      <c r="F47" s="36">
        <f t="shared" si="6"/>
        <v>0</v>
      </c>
      <c r="G47" s="161"/>
      <c r="H47" s="146">
        <v>1430300</v>
      </c>
      <c r="I47" s="71">
        <f t="shared" si="0"/>
        <v>1430300</v>
      </c>
      <c r="J47" s="161"/>
      <c r="K47" s="161"/>
      <c r="L47" s="145"/>
      <c r="M47" s="161"/>
      <c r="N47" s="161"/>
      <c r="O47" s="145"/>
      <c r="P47" s="96">
        <v>1430300</v>
      </c>
      <c r="Q47" s="41"/>
      <c r="R47" s="145"/>
      <c r="S47" s="149"/>
      <c r="T47" s="149"/>
      <c r="U47" s="41"/>
      <c r="V47" s="57"/>
      <c r="W47" s="40">
        <f t="shared" si="1"/>
        <v>1430300</v>
      </c>
      <c r="X47" s="40">
        <f t="shared" si="2"/>
        <v>0</v>
      </c>
      <c r="Y47" s="273">
        <f t="shared" si="4"/>
        <v>1430300</v>
      </c>
      <c r="Z47" s="162"/>
      <c r="AA47" s="162"/>
      <c r="AB47" s="163" t="s">
        <v>78</v>
      </c>
      <c r="AH47" s="55"/>
    </row>
    <row r="48" spans="1:34" ht="50.25" customHeight="1" x14ac:dyDescent="0.3">
      <c r="A48" s="46">
        <v>28</v>
      </c>
      <c r="B48" s="157" t="s">
        <v>111</v>
      </c>
      <c r="C48" s="46">
        <v>40375984</v>
      </c>
      <c r="D48" s="46"/>
      <c r="E48" s="276">
        <v>148000</v>
      </c>
      <c r="F48" s="36">
        <f t="shared" si="6"/>
        <v>0</v>
      </c>
      <c r="G48" s="101"/>
      <c r="H48" s="82">
        <v>148000</v>
      </c>
      <c r="I48" s="47">
        <f t="shared" si="0"/>
        <v>148000</v>
      </c>
      <c r="J48" s="101"/>
      <c r="K48" s="101"/>
      <c r="L48" s="96"/>
      <c r="M48" s="101"/>
      <c r="N48" s="101">
        <v>74000</v>
      </c>
      <c r="O48" s="96"/>
      <c r="P48" s="96"/>
      <c r="Q48" s="41"/>
      <c r="R48" s="96"/>
      <c r="S48" s="156"/>
      <c r="T48" s="156"/>
      <c r="U48" s="53"/>
      <c r="V48" s="57"/>
      <c r="W48" s="40">
        <f t="shared" si="1"/>
        <v>74000</v>
      </c>
      <c r="X48" s="40">
        <f t="shared" si="2"/>
        <v>0</v>
      </c>
      <c r="Y48" s="273">
        <f t="shared" si="4"/>
        <v>74000</v>
      </c>
      <c r="Z48" s="50"/>
      <c r="AA48" s="50"/>
      <c r="AB48" s="51"/>
      <c r="AH48" s="55"/>
    </row>
    <row r="49" spans="1:34" ht="50.25" customHeight="1" x14ac:dyDescent="0.3">
      <c r="A49" s="46">
        <v>29</v>
      </c>
      <c r="B49" s="157" t="s">
        <v>112</v>
      </c>
      <c r="C49" s="46" t="s">
        <v>113</v>
      </c>
      <c r="D49" s="46"/>
      <c r="E49" s="276"/>
      <c r="F49" s="36">
        <f t="shared" si="3"/>
        <v>0</v>
      </c>
      <c r="G49" s="101"/>
      <c r="H49" s="82">
        <v>360000</v>
      </c>
      <c r="I49" s="47">
        <f t="shared" si="0"/>
        <v>360000</v>
      </c>
      <c r="J49" s="101"/>
      <c r="K49" s="101"/>
      <c r="L49" s="96"/>
      <c r="M49" s="101"/>
      <c r="N49" s="101"/>
      <c r="O49" s="96"/>
      <c r="P49" s="96"/>
      <c r="Q49" s="41"/>
      <c r="R49" s="96"/>
      <c r="S49" s="156"/>
      <c r="T49" s="156"/>
      <c r="U49" s="53"/>
      <c r="V49" s="57"/>
      <c r="W49" s="40">
        <f t="shared" si="1"/>
        <v>0</v>
      </c>
      <c r="X49" s="40">
        <f t="shared" si="2"/>
        <v>0</v>
      </c>
      <c r="Y49" s="273">
        <f t="shared" si="4"/>
        <v>0</v>
      </c>
      <c r="Z49" s="50"/>
      <c r="AA49" s="50"/>
      <c r="AB49" s="51"/>
      <c r="AH49" s="55"/>
    </row>
    <row r="50" spans="1:34" ht="50.25" customHeight="1" x14ac:dyDescent="0.3">
      <c r="A50" s="46">
        <v>25</v>
      </c>
      <c r="B50" s="56" t="s">
        <v>114</v>
      </c>
      <c r="C50" s="164" t="s">
        <v>115</v>
      </c>
      <c r="D50" s="164"/>
      <c r="E50" s="282">
        <f>H50</f>
        <v>10389046</v>
      </c>
      <c r="F50" s="36">
        <f>E50-G50-H50</f>
        <v>0</v>
      </c>
      <c r="G50" s="101"/>
      <c r="H50" s="82">
        <v>10389046</v>
      </c>
      <c r="I50" s="47">
        <f t="shared" si="0"/>
        <v>10389046</v>
      </c>
      <c r="J50" s="101"/>
      <c r="K50" s="101"/>
      <c r="L50" s="101"/>
      <c r="M50" s="101"/>
      <c r="N50" s="101">
        <v>5649316</v>
      </c>
      <c r="O50" s="96">
        <v>283605</v>
      </c>
      <c r="P50" s="96"/>
      <c r="Q50" s="41">
        <v>1692151</v>
      </c>
      <c r="R50" s="101"/>
      <c r="S50" s="132"/>
      <c r="T50" s="132"/>
      <c r="U50" s="40"/>
      <c r="V50" s="42"/>
      <c r="W50" s="40">
        <f t="shared" si="1"/>
        <v>7625072</v>
      </c>
      <c r="X50" s="40">
        <f t="shared" si="2"/>
        <v>0</v>
      </c>
      <c r="Y50" s="273">
        <f t="shared" si="4"/>
        <v>7625072</v>
      </c>
      <c r="Z50" s="50"/>
      <c r="AA50" s="50"/>
      <c r="AB50" s="51" t="s">
        <v>116</v>
      </c>
      <c r="AH50" s="55"/>
    </row>
    <row r="51" spans="1:34" ht="50.25" hidden="1" customHeight="1" x14ac:dyDescent="0.3">
      <c r="A51" s="46">
        <v>45</v>
      </c>
      <c r="B51" s="165" t="s">
        <v>117</v>
      </c>
      <c r="C51" s="166" t="s">
        <v>118</v>
      </c>
      <c r="D51" s="166"/>
      <c r="E51" s="282">
        <v>46300</v>
      </c>
      <c r="F51" s="70">
        <f>E51-G51-H51</f>
        <v>0</v>
      </c>
      <c r="G51" s="161"/>
      <c r="H51" s="146">
        <v>46300</v>
      </c>
      <c r="I51" s="71">
        <f t="shared" si="0"/>
        <v>46300</v>
      </c>
      <c r="J51" s="161"/>
      <c r="K51" s="161"/>
      <c r="L51" s="161"/>
      <c r="M51" s="161">
        <v>46300</v>
      </c>
      <c r="N51" s="161"/>
      <c r="O51" s="161"/>
      <c r="P51" s="161"/>
      <c r="Q51" s="41"/>
      <c r="R51" s="161"/>
      <c r="S51" s="148"/>
      <c r="T51" s="148"/>
      <c r="U51" s="75"/>
      <c r="V51" s="75"/>
      <c r="W51" s="75">
        <f t="shared" si="1"/>
        <v>46300</v>
      </c>
      <c r="X51" s="75">
        <f t="shared" si="2"/>
        <v>0</v>
      </c>
      <c r="Y51" s="273">
        <f t="shared" si="4"/>
        <v>46300</v>
      </c>
      <c r="Z51" s="162"/>
      <c r="AA51" s="162"/>
      <c r="AB51" s="163" t="s">
        <v>119</v>
      </c>
      <c r="AH51" s="55"/>
    </row>
    <row r="52" spans="1:34" ht="50.25" customHeight="1" x14ac:dyDescent="0.3">
      <c r="A52" s="46">
        <v>26</v>
      </c>
      <c r="B52" s="167" t="s">
        <v>120</v>
      </c>
      <c r="C52" s="166" t="s">
        <v>121</v>
      </c>
      <c r="D52" s="166"/>
      <c r="E52" s="283">
        <f>H52</f>
        <v>639823</v>
      </c>
      <c r="F52" s="70">
        <f>E52-G52-H52</f>
        <v>0</v>
      </c>
      <c r="G52" s="161"/>
      <c r="H52" s="146">
        <f>645513-5690</f>
        <v>639823</v>
      </c>
      <c r="I52" s="71">
        <f t="shared" si="0"/>
        <v>639823</v>
      </c>
      <c r="J52" s="161"/>
      <c r="K52" s="161"/>
      <c r="L52" s="161"/>
      <c r="M52" s="161"/>
      <c r="N52" s="161"/>
      <c r="O52" s="145"/>
      <c r="P52" s="145">
        <v>153540</v>
      </c>
      <c r="Q52" s="41">
        <f>541063+98760+107572.35+29848.5+117566.5</f>
        <v>894810.35</v>
      </c>
      <c r="R52" s="161"/>
      <c r="S52" s="161"/>
      <c r="T52" s="161"/>
      <c r="U52" s="75"/>
      <c r="V52" s="168">
        <v>408523.35</v>
      </c>
      <c r="W52" s="75">
        <f>SUM(J52:Q52)-SUM(R52:V52)</f>
        <v>639827</v>
      </c>
      <c r="X52" s="75">
        <f t="shared" si="2"/>
        <v>0</v>
      </c>
      <c r="Y52" s="273">
        <f t="shared" si="4"/>
        <v>639827</v>
      </c>
      <c r="Z52" s="162"/>
      <c r="AA52" s="162"/>
      <c r="AB52" s="163" t="s">
        <v>78</v>
      </c>
      <c r="AH52" s="55"/>
    </row>
    <row r="53" spans="1:34" ht="50.25" customHeight="1" x14ac:dyDescent="0.3">
      <c r="A53" s="46">
        <v>47</v>
      </c>
      <c r="B53" s="56" t="s">
        <v>122</v>
      </c>
      <c r="C53" s="169">
        <v>2300018047</v>
      </c>
      <c r="D53" s="169"/>
      <c r="E53" s="284">
        <f>H53</f>
        <v>31480</v>
      </c>
      <c r="F53" s="36">
        <f>E53-G53-H53</f>
        <v>0</v>
      </c>
      <c r="G53" s="101"/>
      <c r="H53" s="82">
        <v>31480</v>
      </c>
      <c r="I53" s="47">
        <f t="shared" si="0"/>
        <v>31480</v>
      </c>
      <c r="J53" s="101"/>
      <c r="K53" s="101"/>
      <c r="L53" s="101"/>
      <c r="M53" s="101"/>
      <c r="N53" s="101"/>
      <c r="O53" s="101"/>
      <c r="P53" s="101"/>
      <c r="Q53" s="41"/>
      <c r="R53" s="101"/>
      <c r="S53" s="101"/>
      <c r="T53" s="101"/>
      <c r="U53" s="40"/>
      <c r="V53" s="42"/>
      <c r="W53" s="40">
        <f t="shared" si="1"/>
        <v>0</v>
      </c>
      <c r="X53" s="40">
        <f t="shared" si="2"/>
        <v>0</v>
      </c>
      <c r="Y53" s="273">
        <f t="shared" si="4"/>
        <v>0</v>
      </c>
      <c r="Z53" s="50"/>
      <c r="AA53" s="50"/>
      <c r="AB53" s="51"/>
      <c r="AH53" s="55"/>
    </row>
    <row r="54" spans="1:34" ht="50.25" customHeight="1" x14ac:dyDescent="0.3">
      <c r="A54" s="46">
        <v>48</v>
      </c>
      <c r="B54" s="56" t="s">
        <v>123</v>
      </c>
      <c r="C54" s="169">
        <v>2300018052</v>
      </c>
      <c r="D54" s="169"/>
      <c r="E54" s="284">
        <f t="shared" ref="E54:E55" si="7">H54</f>
        <v>18550</v>
      </c>
      <c r="F54" s="36">
        <f t="shared" ref="F54:F55" si="8">E54-G54-H54</f>
        <v>0</v>
      </c>
      <c r="G54" s="101"/>
      <c r="H54" s="82">
        <v>18550</v>
      </c>
      <c r="I54" s="47">
        <f t="shared" si="0"/>
        <v>18550</v>
      </c>
      <c r="J54" s="101"/>
      <c r="K54" s="101"/>
      <c r="L54" s="101"/>
      <c r="M54" s="101"/>
      <c r="N54" s="101"/>
      <c r="O54" s="101"/>
      <c r="P54" s="101"/>
      <c r="Q54" s="41"/>
      <c r="R54" s="101"/>
      <c r="S54" s="101"/>
      <c r="T54" s="101"/>
      <c r="U54" s="40"/>
      <c r="V54" s="42"/>
      <c r="W54" s="40">
        <f t="shared" si="1"/>
        <v>0</v>
      </c>
      <c r="X54" s="40">
        <f t="shared" si="2"/>
        <v>0</v>
      </c>
      <c r="Y54" s="273">
        <f t="shared" si="4"/>
        <v>0</v>
      </c>
      <c r="Z54" s="50"/>
      <c r="AA54" s="50"/>
      <c r="AB54" s="51"/>
      <c r="AH54" s="55"/>
    </row>
    <row r="55" spans="1:34" ht="50.25" customHeight="1" x14ac:dyDescent="0.3">
      <c r="A55" s="46">
        <v>49</v>
      </c>
      <c r="B55" s="56" t="s">
        <v>123</v>
      </c>
      <c r="C55" s="169">
        <v>2300018053</v>
      </c>
      <c r="D55" s="169"/>
      <c r="E55" s="284">
        <f t="shared" si="7"/>
        <v>59980</v>
      </c>
      <c r="F55" s="36">
        <f t="shared" si="8"/>
        <v>0</v>
      </c>
      <c r="G55" s="101"/>
      <c r="H55" s="82">
        <v>59980</v>
      </c>
      <c r="I55" s="47">
        <f t="shared" si="0"/>
        <v>59980</v>
      </c>
      <c r="J55" s="101"/>
      <c r="K55" s="101"/>
      <c r="L55" s="101"/>
      <c r="M55" s="101"/>
      <c r="N55" s="101"/>
      <c r="O55" s="101"/>
      <c r="P55" s="101"/>
      <c r="Q55" s="41"/>
      <c r="R55" s="101"/>
      <c r="S55" s="101"/>
      <c r="T55" s="101"/>
      <c r="U55" s="40"/>
      <c r="V55" s="42"/>
      <c r="W55" s="40">
        <f t="shared" si="1"/>
        <v>0</v>
      </c>
      <c r="X55" s="40">
        <f t="shared" si="2"/>
        <v>0</v>
      </c>
      <c r="Y55" s="273">
        <f t="shared" si="4"/>
        <v>0</v>
      </c>
      <c r="Z55" s="50"/>
      <c r="AA55" s="50"/>
      <c r="AB55" s="51"/>
      <c r="AH55" s="55"/>
    </row>
    <row r="56" spans="1:34" ht="50.25" customHeight="1" x14ac:dyDescent="0.3">
      <c r="A56" s="46">
        <v>27</v>
      </c>
      <c r="B56" s="167" t="s">
        <v>124</v>
      </c>
      <c r="C56" s="170">
        <v>1300005422</v>
      </c>
      <c r="D56" s="170"/>
      <c r="E56" s="284">
        <f>H56</f>
        <v>331415</v>
      </c>
      <c r="F56" s="70">
        <f>E56-G56-H56</f>
        <v>0</v>
      </c>
      <c r="G56" s="161"/>
      <c r="H56" s="146">
        <v>331415</v>
      </c>
      <c r="I56" s="71">
        <f t="shared" si="0"/>
        <v>331415</v>
      </c>
      <c r="J56" s="161"/>
      <c r="K56" s="161"/>
      <c r="L56" s="161"/>
      <c r="M56" s="161"/>
      <c r="N56" s="161"/>
      <c r="O56" s="161"/>
      <c r="P56" s="145">
        <v>308865</v>
      </c>
      <c r="Q56" s="41"/>
      <c r="R56" s="161"/>
      <c r="S56" s="161"/>
      <c r="T56" s="161"/>
      <c r="U56" s="75"/>
      <c r="V56" s="75"/>
      <c r="W56" s="75">
        <f>SUM(J56:Q56)-SUM(R56:V56)</f>
        <v>308865</v>
      </c>
      <c r="X56" s="75">
        <f t="shared" si="2"/>
        <v>0</v>
      </c>
      <c r="Y56" s="273">
        <f t="shared" si="4"/>
        <v>308865</v>
      </c>
      <c r="Z56" s="162"/>
      <c r="AA56" s="162"/>
      <c r="AB56" s="163" t="s">
        <v>78</v>
      </c>
      <c r="AH56" s="55"/>
    </row>
    <row r="57" spans="1:34" ht="50.25" hidden="1" customHeight="1" x14ac:dyDescent="0.3">
      <c r="A57" s="46">
        <v>28</v>
      </c>
      <c r="B57" s="167" t="s">
        <v>125</v>
      </c>
      <c r="C57" s="170"/>
      <c r="D57" s="170"/>
      <c r="E57" s="284">
        <f t="shared" ref="E57:E59" si="9">H57</f>
        <v>16490</v>
      </c>
      <c r="F57" s="70">
        <f t="shared" ref="F57:F59" si="10">E57-G57-H57</f>
        <v>0</v>
      </c>
      <c r="G57" s="161"/>
      <c r="H57" s="146">
        <v>16490</v>
      </c>
      <c r="I57" s="71">
        <f t="shared" si="0"/>
        <v>16490</v>
      </c>
      <c r="J57" s="161"/>
      <c r="K57" s="161"/>
      <c r="L57" s="161"/>
      <c r="M57" s="161"/>
      <c r="N57" s="161"/>
      <c r="O57" s="161"/>
      <c r="P57" s="145">
        <v>16490</v>
      </c>
      <c r="Q57" s="41"/>
      <c r="R57" s="161"/>
      <c r="S57" s="161"/>
      <c r="T57" s="161"/>
      <c r="U57" s="75"/>
      <c r="V57" s="75"/>
      <c r="W57" s="75">
        <f t="shared" si="1"/>
        <v>16490</v>
      </c>
      <c r="X57" s="75">
        <f t="shared" si="2"/>
        <v>0</v>
      </c>
      <c r="Y57" s="273">
        <f t="shared" si="4"/>
        <v>16490</v>
      </c>
      <c r="Z57" s="162"/>
      <c r="AA57" s="162"/>
      <c r="AB57" s="163" t="s">
        <v>78</v>
      </c>
      <c r="AH57" s="55"/>
    </row>
    <row r="58" spans="1:34" ht="50.25" customHeight="1" x14ac:dyDescent="0.3">
      <c r="A58" s="46">
        <v>29</v>
      </c>
      <c r="B58" s="167" t="s">
        <v>124</v>
      </c>
      <c r="C58" s="170">
        <v>1300005423</v>
      </c>
      <c r="D58" s="170"/>
      <c r="E58" s="284">
        <f t="shared" si="9"/>
        <v>119040</v>
      </c>
      <c r="F58" s="70">
        <f t="shared" si="10"/>
        <v>0</v>
      </c>
      <c r="G58" s="161"/>
      <c r="H58" s="146">
        <v>119040</v>
      </c>
      <c r="I58" s="71">
        <f t="shared" si="0"/>
        <v>119040</v>
      </c>
      <c r="J58" s="161"/>
      <c r="K58" s="161"/>
      <c r="L58" s="161"/>
      <c r="M58" s="161"/>
      <c r="N58" s="161"/>
      <c r="O58" s="161"/>
      <c r="P58" s="145">
        <v>118290</v>
      </c>
      <c r="Q58" s="41"/>
      <c r="R58" s="161"/>
      <c r="S58" s="161"/>
      <c r="T58" s="161"/>
      <c r="U58" s="75"/>
      <c r="V58" s="75"/>
      <c r="W58" s="75">
        <f>SUM(J58:Q58)-SUM(R58:V58)</f>
        <v>118290</v>
      </c>
      <c r="X58" s="75">
        <f t="shared" si="2"/>
        <v>0</v>
      </c>
      <c r="Y58" s="273">
        <f t="shared" si="4"/>
        <v>118290</v>
      </c>
      <c r="Z58" s="162"/>
      <c r="AA58" s="162"/>
      <c r="AB58" s="163" t="s">
        <v>78</v>
      </c>
      <c r="AH58" s="55"/>
    </row>
    <row r="59" spans="1:34" ht="50.25" customHeight="1" x14ac:dyDescent="0.3">
      <c r="A59" s="46">
        <v>30</v>
      </c>
      <c r="B59" s="165" t="s">
        <v>126</v>
      </c>
      <c r="C59" s="170">
        <v>1300005424</v>
      </c>
      <c r="D59" s="170"/>
      <c r="E59" s="284">
        <f t="shared" si="9"/>
        <v>217045</v>
      </c>
      <c r="F59" s="70">
        <f t="shared" si="10"/>
        <v>0</v>
      </c>
      <c r="G59" s="161"/>
      <c r="H59" s="146">
        <v>217045</v>
      </c>
      <c r="I59" s="71">
        <f t="shared" si="0"/>
        <v>217045</v>
      </c>
      <c r="J59" s="161"/>
      <c r="K59" s="161"/>
      <c r="L59" s="161"/>
      <c r="M59" s="161"/>
      <c r="N59" s="161"/>
      <c r="O59" s="161"/>
      <c r="P59" s="145">
        <v>194855</v>
      </c>
      <c r="Q59" s="41">
        <v>17800</v>
      </c>
      <c r="R59" s="161"/>
      <c r="S59" s="161"/>
      <c r="T59" s="161"/>
      <c r="U59" s="75"/>
      <c r="V59" s="75"/>
      <c r="W59" s="75">
        <f t="shared" si="1"/>
        <v>212655</v>
      </c>
      <c r="X59" s="75">
        <f t="shared" si="2"/>
        <v>0</v>
      </c>
      <c r="Y59" s="273">
        <f t="shared" si="4"/>
        <v>212655</v>
      </c>
      <c r="Z59" s="162"/>
      <c r="AA59" s="162"/>
      <c r="AB59" s="163" t="s">
        <v>78</v>
      </c>
      <c r="AH59" s="55"/>
    </row>
    <row r="60" spans="1:34" ht="50.25" customHeight="1" x14ac:dyDescent="0.3">
      <c r="A60" s="46">
        <v>31</v>
      </c>
      <c r="B60" s="159" t="s">
        <v>127</v>
      </c>
      <c r="C60" s="169" t="s">
        <v>128</v>
      </c>
      <c r="D60" s="169"/>
      <c r="E60" s="284">
        <f>H60</f>
        <v>737756</v>
      </c>
      <c r="F60" s="36">
        <f>E60-G60-H60</f>
        <v>0</v>
      </c>
      <c r="G60" s="101"/>
      <c r="H60" s="82">
        <v>737756</v>
      </c>
      <c r="I60" s="47">
        <f t="shared" si="0"/>
        <v>737756</v>
      </c>
      <c r="J60" s="101"/>
      <c r="K60" s="101"/>
      <c r="L60" s="101"/>
      <c r="M60" s="101"/>
      <c r="N60" s="101"/>
      <c r="O60" s="101"/>
      <c r="P60" s="101"/>
      <c r="Q60" s="41"/>
      <c r="R60" s="101"/>
      <c r="S60" s="101"/>
      <c r="T60" s="101"/>
      <c r="U60" s="40"/>
      <c r="V60" s="42"/>
      <c r="W60" s="40">
        <f t="shared" si="1"/>
        <v>0</v>
      </c>
      <c r="X60" s="40">
        <f t="shared" si="2"/>
        <v>0</v>
      </c>
      <c r="Y60" s="273">
        <f t="shared" si="4"/>
        <v>0</v>
      </c>
      <c r="Z60" s="50"/>
      <c r="AA60" s="50"/>
      <c r="AB60" s="51"/>
      <c r="AH60" s="55"/>
    </row>
    <row r="61" spans="1:34" ht="50.25" customHeight="1" x14ac:dyDescent="0.3">
      <c r="A61" s="46">
        <v>54</v>
      </c>
      <c r="B61" s="165" t="s">
        <v>129</v>
      </c>
      <c r="C61" s="170" t="s">
        <v>130</v>
      </c>
      <c r="D61" s="170"/>
      <c r="E61" s="284">
        <v>50000</v>
      </c>
      <c r="F61" s="70">
        <f t="shared" ref="F61:F69" si="11">E61-G61-H61</f>
        <v>0</v>
      </c>
      <c r="G61" s="161"/>
      <c r="H61" s="146">
        <v>50000</v>
      </c>
      <c r="I61" s="71">
        <f t="shared" si="0"/>
        <v>50000</v>
      </c>
      <c r="J61" s="161"/>
      <c r="K61" s="161"/>
      <c r="L61" s="161"/>
      <c r="M61" s="161"/>
      <c r="N61" s="161"/>
      <c r="O61" s="145">
        <v>50000</v>
      </c>
      <c r="P61" s="145"/>
      <c r="Q61" s="41"/>
      <c r="R61" s="161"/>
      <c r="S61" s="161"/>
      <c r="T61" s="161"/>
      <c r="U61" s="75"/>
      <c r="V61" s="75"/>
      <c r="W61" s="75">
        <f t="shared" si="1"/>
        <v>50000</v>
      </c>
      <c r="X61" s="75">
        <f t="shared" si="2"/>
        <v>0</v>
      </c>
      <c r="Y61" s="273">
        <f t="shared" si="4"/>
        <v>50000</v>
      </c>
      <c r="Z61" s="50"/>
      <c r="AA61" s="50"/>
      <c r="AB61" s="51"/>
      <c r="AH61" s="55"/>
    </row>
    <row r="62" spans="1:34" ht="50.25" customHeight="1" x14ac:dyDescent="0.3">
      <c r="A62" s="46">
        <v>32</v>
      </c>
      <c r="B62" s="159" t="s">
        <v>131</v>
      </c>
      <c r="C62" s="169">
        <v>2300018318</v>
      </c>
      <c r="D62" s="169"/>
      <c r="E62" s="284">
        <f t="shared" ref="E62:E69" si="12">H62</f>
        <v>2839930</v>
      </c>
      <c r="F62" s="36">
        <f t="shared" si="11"/>
        <v>0</v>
      </c>
      <c r="G62" s="101"/>
      <c r="H62" s="82">
        <v>2839930</v>
      </c>
      <c r="I62" s="47">
        <f t="shared" si="0"/>
        <v>2839930</v>
      </c>
      <c r="J62" s="101"/>
      <c r="K62" s="101"/>
      <c r="L62" s="101"/>
      <c r="M62" s="101"/>
      <c r="N62" s="101"/>
      <c r="O62" s="96">
        <v>709982.5</v>
      </c>
      <c r="P62" s="96"/>
      <c r="Q62" s="41">
        <v>709983</v>
      </c>
      <c r="R62" s="101"/>
      <c r="S62" s="101"/>
      <c r="T62" s="101"/>
      <c r="U62" s="40"/>
      <c r="V62" s="42"/>
      <c r="W62" s="40">
        <f t="shared" si="1"/>
        <v>1419965.5</v>
      </c>
      <c r="X62" s="40">
        <f t="shared" si="2"/>
        <v>0</v>
      </c>
      <c r="Y62" s="273">
        <f t="shared" si="4"/>
        <v>1419965.5</v>
      </c>
      <c r="Z62" s="50"/>
      <c r="AA62" s="50"/>
      <c r="AB62" s="51"/>
      <c r="AH62" s="55"/>
    </row>
    <row r="63" spans="1:34" ht="50.25" customHeight="1" x14ac:dyDescent="0.3">
      <c r="A63" s="46">
        <v>33</v>
      </c>
      <c r="B63" s="159" t="s">
        <v>132</v>
      </c>
      <c r="C63" s="169">
        <v>11011204044</v>
      </c>
      <c r="D63" s="169"/>
      <c r="E63" s="284">
        <f t="shared" si="12"/>
        <v>1694224</v>
      </c>
      <c r="F63" s="36">
        <f t="shared" si="11"/>
        <v>0</v>
      </c>
      <c r="G63" s="101"/>
      <c r="H63" s="82">
        <v>1694224</v>
      </c>
      <c r="I63" s="47">
        <f t="shared" si="0"/>
        <v>1694224</v>
      </c>
      <c r="J63" s="101"/>
      <c r="K63" s="101"/>
      <c r="L63" s="101"/>
      <c r="M63" s="101"/>
      <c r="N63" s="101"/>
      <c r="O63" s="101"/>
      <c r="P63" s="101"/>
      <c r="Q63" s="41"/>
      <c r="R63" s="101"/>
      <c r="S63" s="101"/>
      <c r="T63" s="101"/>
      <c r="U63" s="40"/>
      <c r="V63" s="42"/>
      <c r="W63" s="40">
        <f t="shared" si="1"/>
        <v>0</v>
      </c>
      <c r="X63" s="40">
        <f t="shared" si="2"/>
        <v>0</v>
      </c>
      <c r="Y63" s="273">
        <f t="shared" si="4"/>
        <v>0</v>
      </c>
      <c r="Z63" s="50"/>
      <c r="AA63" s="50"/>
      <c r="AB63" s="51"/>
      <c r="AH63" s="55"/>
    </row>
    <row r="64" spans="1:34" ht="50.25" customHeight="1" x14ac:dyDescent="0.3">
      <c r="A64" s="46">
        <v>34</v>
      </c>
      <c r="B64" s="159" t="s">
        <v>133</v>
      </c>
      <c r="C64" s="169">
        <v>11044135650</v>
      </c>
      <c r="D64" s="169"/>
      <c r="E64" s="284">
        <f t="shared" si="12"/>
        <v>289083</v>
      </c>
      <c r="F64" s="36">
        <f t="shared" si="11"/>
        <v>0</v>
      </c>
      <c r="G64" s="101"/>
      <c r="H64" s="82">
        <v>289083</v>
      </c>
      <c r="I64" s="47">
        <f t="shared" si="0"/>
        <v>289083</v>
      </c>
      <c r="J64" s="101"/>
      <c r="K64" s="101"/>
      <c r="L64" s="101"/>
      <c r="M64" s="101"/>
      <c r="N64" s="101"/>
      <c r="O64" s="101"/>
      <c r="P64" s="101"/>
      <c r="Q64" s="41"/>
      <c r="R64" s="101"/>
      <c r="S64" s="101"/>
      <c r="T64" s="101"/>
      <c r="U64" s="40"/>
      <c r="V64" s="42"/>
      <c r="W64" s="40">
        <f t="shared" si="1"/>
        <v>0</v>
      </c>
      <c r="X64" s="40">
        <f t="shared" si="2"/>
        <v>0</v>
      </c>
      <c r="Y64" s="273">
        <f t="shared" si="4"/>
        <v>0</v>
      </c>
      <c r="Z64" s="50"/>
      <c r="AA64" s="50"/>
      <c r="AB64" s="51"/>
      <c r="AH64" s="55"/>
    </row>
    <row r="65" spans="1:34" ht="50.25" customHeight="1" x14ac:dyDescent="0.3">
      <c r="A65" s="46">
        <v>35</v>
      </c>
      <c r="B65" s="159" t="s">
        <v>134</v>
      </c>
      <c r="C65" s="169">
        <v>11044135651</v>
      </c>
      <c r="D65" s="169"/>
      <c r="E65" s="284">
        <f t="shared" si="12"/>
        <v>289083</v>
      </c>
      <c r="F65" s="36">
        <f t="shared" si="11"/>
        <v>0</v>
      </c>
      <c r="G65" s="101"/>
      <c r="H65" s="82">
        <v>289083</v>
      </c>
      <c r="I65" s="47">
        <f t="shared" si="0"/>
        <v>289083</v>
      </c>
      <c r="J65" s="101"/>
      <c r="K65" s="101"/>
      <c r="L65" s="101"/>
      <c r="M65" s="101"/>
      <c r="N65" s="101"/>
      <c r="O65" s="101"/>
      <c r="P65" s="101"/>
      <c r="Q65" s="41"/>
      <c r="R65" s="101"/>
      <c r="S65" s="101"/>
      <c r="T65" s="101"/>
      <c r="U65" s="40"/>
      <c r="V65" s="42"/>
      <c r="W65" s="40">
        <f t="shared" si="1"/>
        <v>0</v>
      </c>
      <c r="X65" s="40">
        <f t="shared" si="2"/>
        <v>0</v>
      </c>
      <c r="Y65" s="273">
        <f t="shared" si="4"/>
        <v>0</v>
      </c>
      <c r="Z65" s="50"/>
      <c r="AA65" s="50"/>
      <c r="AB65" s="51"/>
      <c r="AH65" s="55"/>
    </row>
    <row r="66" spans="1:34" ht="50.25" customHeight="1" x14ac:dyDescent="0.3">
      <c r="A66" s="134">
        <v>36</v>
      </c>
      <c r="B66" s="56" t="s">
        <v>135</v>
      </c>
      <c r="C66" s="171" t="s">
        <v>136</v>
      </c>
      <c r="D66" s="171"/>
      <c r="E66" s="285">
        <f t="shared" si="12"/>
        <v>9850000</v>
      </c>
      <c r="F66" s="36">
        <f t="shared" si="11"/>
        <v>0</v>
      </c>
      <c r="G66" s="101"/>
      <c r="H66" s="82">
        <v>9850000</v>
      </c>
      <c r="I66" s="47">
        <f t="shared" si="0"/>
        <v>9850000</v>
      </c>
      <c r="J66" s="101"/>
      <c r="K66" s="101"/>
      <c r="L66" s="101"/>
      <c r="M66" s="101"/>
      <c r="N66" s="101"/>
      <c r="O66" s="101"/>
      <c r="P66" s="101"/>
      <c r="Q66" s="145"/>
      <c r="R66" s="101"/>
      <c r="S66" s="101"/>
      <c r="T66" s="101"/>
      <c r="U66" s="101"/>
      <c r="V66" s="172"/>
      <c r="W66" s="40">
        <f t="shared" si="1"/>
        <v>0</v>
      </c>
      <c r="X66" s="40">
        <f t="shared" si="2"/>
        <v>0</v>
      </c>
      <c r="Y66" s="273">
        <f t="shared" si="4"/>
        <v>0</v>
      </c>
      <c r="Z66" s="50"/>
      <c r="AA66" s="50"/>
      <c r="AB66" s="51"/>
      <c r="AH66" s="55"/>
    </row>
    <row r="67" spans="1:34" ht="50.25" customHeight="1" x14ac:dyDescent="0.3">
      <c r="A67" s="173">
        <v>37</v>
      </c>
      <c r="B67" s="56" t="s">
        <v>137</v>
      </c>
      <c r="C67" s="171" t="s">
        <v>136</v>
      </c>
      <c r="D67" s="171"/>
      <c r="E67" s="285">
        <f t="shared" si="12"/>
        <v>2829825</v>
      </c>
      <c r="F67" s="36">
        <f t="shared" si="11"/>
        <v>0</v>
      </c>
      <c r="G67" s="101"/>
      <c r="H67" s="82">
        <v>2829825</v>
      </c>
      <c r="I67" s="47">
        <f t="shared" si="0"/>
        <v>2829825</v>
      </c>
      <c r="J67" s="101"/>
      <c r="K67" s="101"/>
      <c r="L67" s="101"/>
      <c r="M67" s="101"/>
      <c r="N67" s="101"/>
      <c r="O67" s="101"/>
      <c r="P67" s="101"/>
      <c r="Q67" s="145"/>
      <c r="R67" s="101"/>
      <c r="S67" s="101"/>
      <c r="T67" s="101"/>
      <c r="U67" s="101"/>
      <c r="V67" s="172"/>
      <c r="W67" s="40">
        <f t="shared" si="1"/>
        <v>0</v>
      </c>
      <c r="X67" s="40">
        <f t="shared" si="2"/>
        <v>0</v>
      </c>
      <c r="Y67" s="273">
        <f t="shared" si="4"/>
        <v>0</v>
      </c>
      <c r="Z67" s="50"/>
      <c r="AA67" s="50"/>
      <c r="AB67" s="51"/>
      <c r="AH67" s="55"/>
    </row>
    <row r="68" spans="1:34" ht="50.25" customHeight="1" x14ac:dyDescent="0.3">
      <c r="A68" s="173">
        <v>38</v>
      </c>
      <c r="B68" s="56" t="s">
        <v>138</v>
      </c>
      <c r="C68" s="171" t="s">
        <v>136</v>
      </c>
      <c r="D68" s="171"/>
      <c r="E68" s="285">
        <f t="shared" si="12"/>
        <v>2829825</v>
      </c>
      <c r="F68" s="36">
        <f t="shared" si="11"/>
        <v>0</v>
      </c>
      <c r="G68" s="101"/>
      <c r="H68" s="82">
        <v>2829825</v>
      </c>
      <c r="I68" s="47">
        <f t="shared" si="0"/>
        <v>2829825</v>
      </c>
      <c r="J68" s="101"/>
      <c r="K68" s="101"/>
      <c r="L68" s="101"/>
      <c r="M68" s="101"/>
      <c r="N68" s="101"/>
      <c r="O68" s="101"/>
      <c r="P68" s="101"/>
      <c r="Q68" s="145"/>
      <c r="R68" s="101"/>
      <c r="S68" s="101"/>
      <c r="T68" s="101"/>
      <c r="U68" s="101"/>
      <c r="V68" s="172"/>
      <c r="W68" s="40">
        <f t="shared" si="1"/>
        <v>0</v>
      </c>
      <c r="X68" s="40">
        <f t="shared" si="2"/>
        <v>0</v>
      </c>
      <c r="Y68" s="273">
        <f t="shared" si="4"/>
        <v>0</v>
      </c>
      <c r="Z68" s="50"/>
      <c r="AA68" s="50"/>
      <c r="AB68" s="51"/>
      <c r="AH68" s="55"/>
    </row>
    <row r="69" spans="1:34" ht="50.25" customHeight="1" thickBot="1" x14ac:dyDescent="0.35">
      <c r="A69" s="173">
        <v>39</v>
      </c>
      <c r="B69" s="174" t="s">
        <v>139</v>
      </c>
      <c r="C69" s="175"/>
      <c r="D69" s="175"/>
      <c r="E69" s="286">
        <f t="shared" si="12"/>
        <v>249000</v>
      </c>
      <c r="F69" s="36">
        <f t="shared" si="11"/>
        <v>0</v>
      </c>
      <c r="G69" s="135"/>
      <c r="H69" s="136">
        <v>249000</v>
      </c>
      <c r="I69" s="153">
        <f t="shared" si="0"/>
        <v>249000</v>
      </c>
      <c r="J69" s="135"/>
      <c r="K69" s="135"/>
      <c r="L69" s="135"/>
      <c r="M69" s="135"/>
      <c r="N69" s="135"/>
      <c r="O69" s="135"/>
      <c r="P69" s="135"/>
      <c r="Q69" s="176"/>
      <c r="R69" s="101"/>
      <c r="S69" s="101"/>
      <c r="T69" s="101"/>
      <c r="U69" s="135"/>
      <c r="V69" s="177"/>
      <c r="W69" s="40">
        <f t="shared" si="1"/>
        <v>0</v>
      </c>
      <c r="X69" s="40">
        <f t="shared" si="2"/>
        <v>0</v>
      </c>
      <c r="Y69" s="273">
        <f t="shared" si="4"/>
        <v>0</v>
      </c>
      <c r="Z69" s="50"/>
      <c r="AA69" s="50"/>
      <c r="AB69" s="51"/>
      <c r="AH69" s="55"/>
    </row>
    <row r="70" spans="1:34" ht="50.25" customHeight="1" thickBot="1" x14ac:dyDescent="0.3">
      <c r="A70" s="178" t="s">
        <v>140</v>
      </c>
      <c r="B70" s="179"/>
      <c r="C70" s="180"/>
      <c r="D70" s="181"/>
      <c r="E70" s="18">
        <f>SUM(E5:E69)</f>
        <v>281757875</v>
      </c>
      <c r="F70" s="18">
        <f t="shared" ref="F70:Y70" si="13">SUM(F5:F69)</f>
        <v>93007548.799999997</v>
      </c>
      <c r="G70" s="182">
        <f t="shared" si="13"/>
        <v>109343401.2</v>
      </c>
      <c r="H70" s="182">
        <f>SUM(H5:H69)</f>
        <v>82678774</v>
      </c>
      <c r="I70" s="182">
        <f t="shared" si="13"/>
        <v>192022175.19999999</v>
      </c>
      <c r="J70" s="182">
        <f t="shared" si="13"/>
        <v>1453395</v>
      </c>
      <c r="K70" s="182">
        <f t="shared" si="13"/>
        <v>10978461</v>
      </c>
      <c r="L70" s="182">
        <f t="shared" si="13"/>
        <v>6730463</v>
      </c>
      <c r="M70" s="182">
        <f t="shared" si="13"/>
        <v>10610813.75</v>
      </c>
      <c r="N70" s="182">
        <f t="shared" si="13"/>
        <v>9405459.5</v>
      </c>
      <c r="O70" s="182">
        <f t="shared" si="13"/>
        <v>12804524.5</v>
      </c>
      <c r="P70" s="182">
        <f t="shared" si="13"/>
        <v>2964927</v>
      </c>
      <c r="Q70" s="182">
        <f t="shared" si="13"/>
        <v>11293980.35</v>
      </c>
      <c r="R70" s="182">
        <f t="shared" si="13"/>
        <v>1082425</v>
      </c>
      <c r="S70" s="182">
        <f t="shared" si="13"/>
        <v>329278</v>
      </c>
      <c r="T70" s="182">
        <f t="shared" si="13"/>
        <v>382493</v>
      </c>
      <c r="U70" s="182">
        <f t="shared" si="13"/>
        <v>0</v>
      </c>
      <c r="V70" s="182">
        <f t="shared" si="13"/>
        <v>876877.35</v>
      </c>
      <c r="W70" s="182">
        <f t="shared" si="13"/>
        <v>63570950.75</v>
      </c>
      <c r="X70" s="182">
        <f t="shared" si="13"/>
        <v>93007548.799999997</v>
      </c>
      <c r="Y70" s="182">
        <f t="shared" si="13"/>
        <v>156578499.55000001</v>
      </c>
      <c r="Z70" s="183"/>
      <c r="AA70" s="184"/>
      <c r="AB70" s="185"/>
      <c r="AH70" s="55"/>
    </row>
    <row r="71" spans="1:34" ht="50.25" hidden="1" customHeight="1" thickBot="1" x14ac:dyDescent="0.3">
      <c r="A71" s="186" t="s">
        <v>141</v>
      </c>
      <c r="B71" s="187"/>
      <c r="C71" s="187"/>
      <c r="D71" s="187"/>
      <c r="E71" s="187"/>
      <c r="F71" s="187"/>
      <c r="G71" s="187"/>
      <c r="H71" s="187"/>
      <c r="I71" s="188"/>
      <c r="J71" s="189">
        <f>J70+K70+L70+M70+N70+O70+P70+Q70</f>
        <v>66242024.100000001</v>
      </c>
      <c r="K71" s="190"/>
      <c r="L71" s="190"/>
      <c r="M71" s="190"/>
      <c r="N71" s="191"/>
      <c r="O71" s="192"/>
      <c r="P71" s="192"/>
      <c r="Q71" s="192"/>
      <c r="R71" s="193"/>
      <c r="S71" s="193"/>
      <c r="T71" s="193"/>
      <c r="U71" s="193"/>
      <c r="V71" s="193"/>
      <c r="W71" s="193"/>
      <c r="X71" s="193"/>
      <c r="Y71" s="193"/>
    </row>
    <row r="72" spans="1:34" ht="50.25" hidden="1" customHeight="1" thickBot="1" x14ac:dyDescent="0.3">
      <c r="A72" s="195"/>
      <c r="B72" s="196"/>
      <c r="C72" s="196"/>
      <c r="D72" s="196"/>
      <c r="E72" s="196"/>
      <c r="F72" s="196"/>
      <c r="G72" s="196"/>
      <c r="H72" s="196"/>
      <c r="I72" s="197"/>
      <c r="J72" s="198"/>
      <c r="K72" s="199"/>
      <c r="L72" s="199"/>
      <c r="M72" s="199"/>
      <c r="N72" s="200"/>
      <c r="O72" s="192"/>
      <c r="P72" s="192"/>
      <c r="Q72" s="192"/>
      <c r="R72" s="193"/>
      <c r="S72" s="193"/>
      <c r="T72" s="193"/>
      <c r="U72" s="193"/>
      <c r="V72" s="193"/>
      <c r="W72" s="201"/>
      <c r="X72" s="201"/>
    </row>
    <row r="73" spans="1:34" ht="50.25" hidden="1" customHeight="1" thickBot="1" x14ac:dyDescent="0.3">
      <c r="A73" s="204" t="s">
        <v>142</v>
      </c>
      <c r="B73" s="205"/>
      <c r="C73" s="205"/>
      <c r="D73" s="205"/>
      <c r="E73" s="205"/>
      <c r="F73" s="205"/>
      <c r="G73" s="205"/>
      <c r="H73" s="205"/>
      <c r="I73" s="206"/>
      <c r="J73" s="207">
        <f>R70+S70+T70+U70+V70</f>
        <v>2671073.35</v>
      </c>
      <c r="K73" s="208"/>
      <c r="L73" s="208"/>
      <c r="M73" s="208"/>
      <c r="N73" s="209"/>
      <c r="O73" s="192"/>
      <c r="P73" s="192"/>
      <c r="Q73" s="192"/>
      <c r="R73" s="202"/>
      <c r="S73" s="202"/>
      <c r="T73" s="193"/>
      <c r="U73" s="193"/>
      <c r="V73" s="193"/>
      <c r="W73" s="193"/>
      <c r="X73" s="193"/>
      <c r="Z73" s="202"/>
    </row>
    <row r="74" spans="1:34" ht="50.25" hidden="1" customHeight="1" thickBot="1" x14ac:dyDescent="0.3">
      <c r="A74" s="195"/>
      <c r="B74" s="196"/>
      <c r="C74" s="196"/>
      <c r="D74" s="196"/>
      <c r="E74" s="196"/>
      <c r="F74" s="196"/>
      <c r="G74" s="196"/>
      <c r="H74" s="196"/>
      <c r="I74" s="197"/>
      <c r="J74" s="198"/>
      <c r="K74" s="199"/>
      <c r="L74" s="199"/>
      <c r="M74" s="199"/>
      <c r="N74" s="200"/>
      <c r="O74" s="192"/>
      <c r="P74" s="192"/>
      <c r="Q74" s="192"/>
      <c r="R74" s="202"/>
      <c r="S74" s="202"/>
      <c r="T74" s="202"/>
      <c r="U74" s="202"/>
      <c r="V74" s="202"/>
      <c r="W74" s="202"/>
      <c r="X74" s="202"/>
      <c r="Z74" s="202"/>
    </row>
    <row r="75" spans="1:34" ht="50.25" hidden="1" customHeight="1" thickBot="1" x14ac:dyDescent="0.35">
      <c r="A75" s="211" t="s">
        <v>143</v>
      </c>
      <c r="B75" s="212"/>
      <c r="C75" s="212"/>
      <c r="D75" s="212"/>
      <c r="E75" s="212"/>
      <c r="F75" s="212"/>
      <c r="G75" s="212"/>
      <c r="H75" s="212"/>
      <c r="I75" s="213"/>
      <c r="J75" s="214">
        <f>J71-J73</f>
        <v>63570950.75</v>
      </c>
      <c r="K75" s="215"/>
      <c r="L75" s="215"/>
      <c r="M75" s="215"/>
      <c r="N75" s="216"/>
      <c r="O75" s="217"/>
      <c r="P75" s="217"/>
      <c r="Q75" s="217"/>
      <c r="R75" s="218"/>
      <c r="S75" s="202"/>
      <c r="T75" s="202"/>
      <c r="U75" s="202"/>
      <c r="V75" s="202"/>
      <c r="W75" s="202"/>
      <c r="X75" s="202"/>
      <c r="Z75" s="202"/>
    </row>
    <row r="76" spans="1:34" ht="50.25" customHeight="1" thickBot="1" x14ac:dyDescent="0.3">
      <c r="T76" s="202"/>
      <c r="U76" s="202"/>
      <c r="V76" s="202"/>
      <c r="W76" s="203"/>
      <c r="X76" s="203"/>
      <c r="Z76" s="202"/>
    </row>
    <row r="77" spans="1:34" ht="50.25" hidden="1" customHeight="1" thickBot="1" x14ac:dyDescent="0.3">
      <c r="H77" s="219" t="s">
        <v>144</v>
      </c>
      <c r="I77" s="220"/>
      <c r="J77" s="220"/>
      <c r="K77" s="221"/>
      <c r="L77" s="222"/>
      <c r="M77" s="222"/>
      <c r="N77" s="223"/>
      <c r="T77" s="202"/>
      <c r="U77" s="202"/>
      <c r="V77" s="202"/>
      <c r="W77" s="202"/>
      <c r="X77" s="202"/>
      <c r="Z77" s="202"/>
      <c r="AA77" s="202"/>
      <c r="AC77" s="202"/>
    </row>
    <row r="78" spans="1:34" ht="50.25" hidden="1" customHeight="1" thickBot="1" x14ac:dyDescent="0.3">
      <c r="H78" s="22" t="s">
        <v>11</v>
      </c>
      <c r="I78" s="224" t="s">
        <v>145</v>
      </c>
      <c r="J78" s="224" t="s">
        <v>146</v>
      </c>
      <c r="K78" s="225" t="s">
        <v>35</v>
      </c>
      <c r="N78" s="226"/>
      <c r="Q78" s="227"/>
      <c r="T78" s="202"/>
      <c r="U78" s="202"/>
      <c r="V78" s="202"/>
      <c r="W78" s="202"/>
      <c r="X78" s="202"/>
      <c r="AB78" s="55"/>
    </row>
    <row r="79" spans="1:34" ht="50.25" hidden="1" customHeight="1" thickBot="1" x14ac:dyDescent="0.3">
      <c r="H79" s="228">
        <v>1</v>
      </c>
      <c r="I79" s="229" t="s">
        <v>147</v>
      </c>
      <c r="J79" s="230">
        <f>J70</f>
        <v>1453395</v>
      </c>
      <c r="K79" s="229" t="s">
        <v>148</v>
      </c>
      <c r="M79" s="202"/>
      <c r="N79" s="226"/>
      <c r="Q79" s="210"/>
    </row>
    <row r="80" spans="1:34" ht="50.25" hidden="1" customHeight="1" thickBot="1" x14ac:dyDescent="0.3">
      <c r="H80" s="231">
        <v>2</v>
      </c>
      <c r="I80" s="232" t="s">
        <v>149</v>
      </c>
      <c r="J80" s="233">
        <f>K70</f>
        <v>10978461</v>
      </c>
      <c r="K80" s="232" t="s">
        <v>148</v>
      </c>
      <c r="N80" s="226"/>
      <c r="Q80" s="210"/>
    </row>
    <row r="81" spans="1:26" ht="50.25" hidden="1" customHeight="1" thickBot="1" x14ac:dyDescent="0.3">
      <c r="F81" s="194">
        <f>F80-F79</f>
        <v>0</v>
      </c>
      <c r="H81" s="228">
        <v>3</v>
      </c>
      <c r="I81" s="229" t="s">
        <v>150</v>
      </c>
      <c r="J81" s="230">
        <f>L70-L39</f>
        <v>6605463</v>
      </c>
      <c r="K81" s="229" t="s">
        <v>148</v>
      </c>
      <c r="L81" s="234" t="s">
        <v>151</v>
      </c>
      <c r="N81" s="226"/>
    </row>
    <row r="82" spans="1:26" ht="50.25" hidden="1" customHeight="1" thickBot="1" x14ac:dyDescent="0.3">
      <c r="B82" s="100"/>
      <c r="H82" s="235">
        <v>3</v>
      </c>
      <c r="I82" s="236" t="s">
        <v>152</v>
      </c>
      <c r="J82" s="237">
        <v>125000</v>
      </c>
      <c r="K82" s="236" t="s">
        <v>153</v>
      </c>
      <c r="L82" s="238"/>
      <c r="N82" s="226"/>
      <c r="Q82" s="239"/>
      <c r="Z82" s="202"/>
    </row>
    <row r="83" spans="1:26" ht="50.25" hidden="1" customHeight="1" thickBot="1" x14ac:dyDescent="0.3">
      <c r="B83" s="100"/>
      <c r="G83" t="s">
        <v>154</v>
      </c>
      <c r="H83" s="235">
        <v>4</v>
      </c>
      <c r="I83" s="240" t="s">
        <v>155</v>
      </c>
      <c r="J83" s="237">
        <f>M70</f>
        <v>10610813.75</v>
      </c>
      <c r="K83" s="229" t="s">
        <v>148</v>
      </c>
      <c r="L83" s="241"/>
      <c r="N83" s="226"/>
      <c r="Z83" s="202"/>
    </row>
    <row r="84" spans="1:26" ht="50.25" hidden="1" customHeight="1" thickBot="1" x14ac:dyDescent="0.3">
      <c r="A84" t="s">
        <v>156</v>
      </c>
      <c r="B84" s="100"/>
      <c r="H84" s="235">
        <v>5</v>
      </c>
      <c r="I84" s="240" t="s">
        <v>157</v>
      </c>
      <c r="J84" s="237">
        <f>N70</f>
        <v>9405459.5</v>
      </c>
      <c r="K84" s="229" t="s">
        <v>148</v>
      </c>
      <c r="L84" s="241"/>
      <c r="N84" s="226"/>
      <c r="Z84" s="202"/>
    </row>
    <row r="85" spans="1:26" ht="50.25" hidden="1" customHeight="1" thickBot="1" x14ac:dyDescent="0.3">
      <c r="B85" s="100"/>
      <c r="H85" s="235">
        <v>6</v>
      </c>
      <c r="I85" s="240" t="s">
        <v>158</v>
      </c>
      <c r="J85" s="242">
        <f>O70</f>
        <v>12804524.5</v>
      </c>
      <c r="K85" s="243" t="s">
        <v>148</v>
      </c>
      <c r="L85" s="241"/>
      <c r="N85" s="226"/>
      <c r="Z85" s="202"/>
    </row>
    <row r="86" spans="1:26" ht="50.25" hidden="1" customHeight="1" thickBot="1" x14ac:dyDescent="0.3">
      <c r="B86" s="100"/>
      <c r="H86" s="235">
        <v>7</v>
      </c>
      <c r="I86" s="240" t="s">
        <v>159</v>
      </c>
      <c r="J86" s="242">
        <f>P70</f>
        <v>2964927</v>
      </c>
      <c r="K86" s="240" t="s">
        <v>148</v>
      </c>
      <c r="L86" s="241"/>
      <c r="N86" s="226"/>
      <c r="Z86" s="202"/>
    </row>
    <row r="87" spans="1:26" ht="50.25" hidden="1" customHeight="1" thickBot="1" x14ac:dyDescent="0.3">
      <c r="B87" s="100"/>
      <c r="H87" s="235">
        <v>8</v>
      </c>
      <c r="I87" s="240" t="s">
        <v>160</v>
      </c>
      <c r="J87" s="242">
        <f>Q70</f>
        <v>11293980.35</v>
      </c>
      <c r="K87" s="240" t="s">
        <v>148</v>
      </c>
      <c r="L87" s="241"/>
      <c r="N87" s="226"/>
      <c r="Z87" s="202"/>
    </row>
    <row r="88" spans="1:26" ht="50.25" hidden="1" customHeight="1" thickBot="1" x14ac:dyDescent="0.3">
      <c r="A88" t="s">
        <v>161</v>
      </c>
      <c r="B88" s="100"/>
      <c r="H88" s="244"/>
      <c r="I88" s="245"/>
      <c r="J88" s="246"/>
      <c r="K88" s="245"/>
      <c r="L88" s="241"/>
      <c r="N88" s="226"/>
      <c r="Z88" s="202"/>
    </row>
    <row r="89" spans="1:26" ht="50.25" hidden="1" customHeight="1" thickBot="1" x14ac:dyDescent="0.3">
      <c r="A89" t="s">
        <v>162</v>
      </c>
      <c r="B89" s="202"/>
      <c r="H89" s="247" t="s">
        <v>163</v>
      </c>
      <c r="I89" s="248"/>
      <c r="J89" s="249">
        <f>SUM(J79:J87)</f>
        <v>66242024.100000001</v>
      </c>
      <c r="K89" s="250" t="s">
        <v>164</v>
      </c>
      <c r="L89" s="251"/>
      <c r="M89" s="251"/>
      <c r="N89" s="252"/>
      <c r="Z89" s="202"/>
    </row>
    <row r="90" spans="1:26" ht="50.25" hidden="1" customHeight="1" thickBot="1" x14ac:dyDescent="0.3">
      <c r="B90" s="202"/>
      <c r="H90" s="253" t="s">
        <v>165</v>
      </c>
      <c r="I90" s="254"/>
      <c r="J90" s="249">
        <f>R70+S70+T70+U70+V70</f>
        <v>2671073.35</v>
      </c>
      <c r="K90" s="255"/>
      <c r="L90" s="256" t="s">
        <v>166</v>
      </c>
      <c r="M90" s="256" t="s">
        <v>167</v>
      </c>
      <c r="N90" s="257" t="s">
        <v>35</v>
      </c>
      <c r="Z90" s="202"/>
    </row>
    <row r="91" spans="1:26" ht="50.25" hidden="1" customHeight="1" thickBot="1" x14ac:dyDescent="0.3">
      <c r="B91" s="202"/>
      <c r="H91" s="247" t="s">
        <v>168</v>
      </c>
      <c r="I91" s="248"/>
      <c r="J91" s="249">
        <f>J89-J90</f>
        <v>63570950.75</v>
      </c>
      <c r="K91" s="258" t="s">
        <v>169</v>
      </c>
      <c r="L91" s="259">
        <v>125000</v>
      </c>
      <c r="M91" s="260">
        <f>J91-L91</f>
        <v>63445950.75</v>
      </c>
      <c r="N91" s="257" t="s">
        <v>170</v>
      </c>
      <c r="Z91" s="55"/>
    </row>
    <row r="92" spans="1:26" ht="50.25" customHeight="1" thickBot="1" x14ac:dyDescent="0.3">
      <c r="A92" t="s">
        <v>171</v>
      </c>
      <c r="B92" s="55"/>
      <c r="L92" s="261"/>
      <c r="M92" s="261"/>
      <c r="N92" s="261"/>
      <c r="O92" s="202"/>
      <c r="P92" s="202"/>
      <c r="Q92" s="202"/>
      <c r="Y92" s="289" t="s">
        <v>172</v>
      </c>
      <c r="Z92" s="55"/>
    </row>
    <row r="93" spans="1:26" ht="50.25" customHeight="1" thickBot="1" x14ac:dyDescent="0.3">
      <c r="B93" s="55"/>
      <c r="Y93" s="290" t="s">
        <v>173</v>
      </c>
    </row>
    <row r="94" spans="1:26" ht="50.25" customHeight="1" thickBot="1" x14ac:dyDescent="0.3">
      <c r="L94" s="202"/>
      <c r="M94" s="202"/>
      <c r="Y94" s="256" t="s">
        <v>11</v>
      </c>
    </row>
    <row r="95" spans="1:26" ht="50.25" customHeight="1" x14ac:dyDescent="0.25">
      <c r="H95" s="262"/>
      <c r="I95" s="262"/>
      <c r="J95" s="262"/>
      <c r="Y95" s="263">
        <v>1</v>
      </c>
    </row>
    <row r="96" spans="1:26" ht="50.25" customHeight="1" x14ac:dyDescent="0.25">
      <c r="H96"/>
      <c r="J96" s="264"/>
      <c r="Y96" s="265">
        <v>2</v>
      </c>
    </row>
    <row r="97" spans="8:25" ht="50.25" customHeight="1" x14ac:dyDescent="0.25">
      <c r="H97"/>
      <c r="J97" s="264"/>
      <c r="Y97" s="265">
        <v>3</v>
      </c>
    </row>
    <row r="98" spans="8:25" ht="50.25" customHeight="1" x14ac:dyDescent="0.25">
      <c r="H98"/>
      <c r="Y98" s="265">
        <v>4</v>
      </c>
    </row>
    <row r="99" spans="8:25" ht="72" customHeight="1" x14ac:dyDescent="0.25">
      <c r="H99" s="266"/>
      <c r="I99" s="266"/>
      <c r="J99" s="267"/>
      <c r="Y99" s="265">
        <v>5</v>
      </c>
    </row>
    <row r="100" spans="8:25" ht="60.75" customHeight="1" thickBot="1" x14ac:dyDescent="0.3">
      <c r="Y100" s="268">
        <v>6</v>
      </c>
    </row>
    <row r="101" spans="8:25" ht="50.25" customHeight="1" thickBot="1" x14ac:dyDescent="0.3">
      <c r="Y101" s="287" t="s">
        <v>174</v>
      </c>
    </row>
    <row r="102" spans="8:25" ht="50.25" customHeight="1" thickBot="1" x14ac:dyDescent="0.3">
      <c r="H102" s="269"/>
      <c r="K102" s="100"/>
      <c r="L102" s="261"/>
      <c r="M102" s="261"/>
      <c r="N102" s="270"/>
      <c r="O102" s="261"/>
      <c r="P102" s="261"/>
      <c r="Q102" s="261"/>
      <c r="R102" s="100"/>
      <c r="S102" s="100"/>
      <c r="T102" s="100"/>
      <c r="U102" s="100"/>
      <c r="V102" s="100"/>
      <c r="W102" s="100"/>
      <c r="X102" s="100"/>
      <c r="Y102" s="287" t="s">
        <v>175</v>
      </c>
    </row>
    <row r="103" spans="8:25" ht="50.25" customHeight="1" thickBot="1" x14ac:dyDescent="0.3">
      <c r="K103" s="100"/>
      <c r="L103" s="261"/>
      <c r="M103" s="261"/>
      <c r="N103" s="270"/>
      <c r="O103" s="261"/>
      <c r="P103" s="261"/>
      <c r="Q103" s="261"/>
      <c r="R103" s="100"/>
      <c r="S103" s="100"/>
      <c r="T103" s="100"/>
      <c r="U103" s="100"/>
      <c r="V103" s="100"/>
      <c r="W103" s="100"/>
      <c r="X103" s="100"/>
      <c r="Y103" s="288" t="s">
        <v>176</v>
      </c>
    </row>
    <row r="104" spans="8:25" ht="50.25" customHeight="1" x14ac:dyDescent="0.25">
      <c r="K104" s="100"/>
      <c r="M104" s="261"/>
      <c r="N104" s="270"/>
      <c r="O104" s="261"/>
      <c r="P104" s="261"/>
      <c r="Q104" s="261"/>
      <c r="R104" s="100"/>
      <c r="S104" s="100"/>
      <c r="T104" s="100"/>
      <c r="U104" s="100"/>
      <c r="V104" s="100"/>
      <c r="W104" s="100"/>
      <c r="X104" s="100"/>
      <c r="Y104" s="100"/>
    </row>
    <row r="108" spans="8:25" ht="50.25" customHeight="1" x14ac:dyDescent="0.25">
      <c r="L108" s="55"/>
    </row>
    <row r="109" spans="8:25" ht="50.25" customHeight="1" x14ac:dyDescent="0.25">
      <c r="L109" s="55"/>
    </row>
  </sheetData>
  <mergeCells count="20">
    <mergeCell ref="H91:I91"/>
    <mergeCell ref="H99:I99"/>
    <mergeCell ref="A75:I75"/>
    <mergeCell ref="J75:N75"/>
    <mergeCell ref="H77:K77"/>
    <mergeCell ref="L81:L82"/>
    <mergeCell ref="H89:I89"/>
    <mergeCell ref="H90:I90"/>
    <mergeCell ref="A70:C70"/>
    <mergeCell ref="Z70:AB70"/>
    <mergeCell ref="A71:I72"/>
    <mergeCell ref="J71:N72"/>
    <mergeCell ref="A73:I74"/>
    <mergeCell ref="J73:N74"/>
    <mergeCell ref="A1:Y1"/>
    <mergeCell ref="A2:Y2"/>
    <mergeCell ref="A3:C3"/>
    <mergeCell ref="Z3:AB3"/>
    <mergeCell ref="AG27:AH27"/>
    <mergeCell ref="AJ27:A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Saif</dc:creator>
  <cp:lastModifiedBy>Sayed Saif</cp:lastModifiedBy>
  <dcterms:created xsi:type="dcterms:W3CDTF">2025-12-15T10:16:37Z</dcterms:created>
  <dcterms:modified xsi:type="dcterms:W3CDTF">2025-12-15T10:35:49Z</dcterms:modified>
</cp:coreProperties>
</file>