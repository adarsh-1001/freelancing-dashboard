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 activeTab="3"/>
  </bookViews>
  <sheets>
    <sheet name="Sheet1" sheetId="1" r:id="rId1"/>
    <sheet name="Till Dec Billing" sheetId="2" r:id="rId2"/>
    <sheet name="Till-Nov Billing" sheetId="3" r:id="rId3"/>
    <sheet name="Month-wise billing-MIS" sheetId="4" r:id="rId4"/>
  </sheets>
  <externalReferences>
    <externalReference r:id="rId5"/>
    <externalReference r:id="rId6"/>
    <externalReference r:id="rId7"/>
  </externalReferenc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5" i="2" l="1"/>
  <c r="L105" i="2"/>
  <c r="L92" i="2"/>
  <c r="L86" i="2"/>
  <c r="G84" i="2"/>
  <c r="Z73" i="2"/>
  <c r="Y73" i="2"/>
  <c r="X73" i="2"/>
  <c r="W73" i="2"/>
  <c r="V73" i="2"/>
  <c r="U73" i="2"/>
  <c r="L76" i="2" s="1"/>
  <c r="T73" i="2"/>
  <c r="R73" i="2"/>
  <c r="L89" i="2" s="1"/>
  <c r="O73" i="2"/>
  <c r="M73" i="2"/>
  <c r="L83" i="2" s="1"/>
  <c r="AA72" i="2"/>
  <c r="J71" i="2"/>
  <c r="AA70" i="2"/>
  <c r="J70" i="2"/>
  <c r="AC70" i="2" s="1"/>
  <c r="AC69" i="2"/>
  <c r="AA69" i="2"/>
  <c r="J69" i="2"/>
  <c r="F69" i="2"/>
  <c r="G69" i="2" s="1"/>
  <c r="AA68" i="2"/>
  <c r="AB68" i="2" s="1"/>
  <c r="J68" i="2"/>
  <c r="AC68" i="2" s="1"/>
  <c r="F68" i="2"/>
  <c r="G68" i="2" s="1"/>
  <c r="AC67" i="2"/>
  <c r="AB67" i="2"/>
  <c r="AA67" i="2"/>
  <c r="J67" i="2"/>
  <c r="F67" i="2"/>
  <c r="G67" i="2" s="1"/>
  <c r="AA66" i="2"/>
  <c r="AB66" i="2" s="1"/>
  <c r="J66" i="2"/>
  <c r="AC66" i="2" s="1"/>
  <c r="F66" i="2"/>
  <c r="G66" i="2" s="1"/>
  <c r="AC65" i="2"/>
  <c r="AB65" i="2"/>
  <c r="AA65" i="2"/>
  <c r="J65" i="2"/>
  <c r="F65" i="2"/>
  <c r="G65" i="2" s="1"/>
  <c r="AA64" i="2"/>
  <c r="AB64" i="2" s="1"/>
  <c r="J64" i="2"/>
  <c r="AC64" i="2" s="1"/>
  <c r="F64" i="2"/>
  <c r="G64" i="2" s="1"/>
  <c r="AC63" i="2"/>
  <c r="AB63" i="2"/>
  <c r="AA63" i="2"/>
  <c r="J63" i="2"/>
  <c r="F63" i="2"/>
  <c r="G63" i="2" s="1"/>
  <c r="AA62" i="2"/>
  <c r="AB62" i="2" s="1"/>
  <c r="J62" i="2"/>
  <c r="AC62" i="2" s="1"/>
  <c r="F62" i="2"/>
  <c r="G62" i="2" s="1"/>
  <c r="AC61" i="2"/>
  <c r="AB61" i="2"/>
  <c r="AA61" i="2"/>
  <c r="J61" i="2"/>
  <c r="G61" i="2"/>
  <c r="AC60" i="2"/>
  <c r="AA60" i="2"/>
  <c r="AB60" i="2" s="1"/>
  <c r="J60" i="2"/>
  <c r="G60" i="2"/>
  <c r="F60" i="2"/>
  <c r="AA59" i="2"/>
  <c r="AC59" i="2" s="1"/>
  <c r="J59" i="2"/>
  <c r="F59" i="2"/>
  <c r="G59" i="2" s="1"/>
  <c r="AC58" i="2"/>
  <c r="AA58" i="2"/>
  <c r="AB58" i="2" s="1"/>
  <c r="J58" i="2"/>
  <c r="G58" i="2"/>
  <c r="F58" i="2"/>
  <c r="AA57" i="2"/>
  <c r="AC57" i="2" s="1"/>
  <c r="J57" i="2"/>
  <c r="F57" i="2"/>
  <c r="G57" i="2" s="1"/>
  <c r="AC56" i="2"/>
  <c r="AA56" i="2"/>
  <c r="AB56" i="2" s="1"/>
  <c r="J56" i="2"/>
  <c r="G56" i="2"/>
  <c r="F56" i="2"/>
  <c r="AA55" i="2"/>
  <c r="AC55" i="2" s="1"/>
  <c r="J55" i="2"/>
  <c r="F55" i="2"/>
  <c r="G55" i="2" s="1"/>
  <c r="AC54" i="2"/>
  <c r="AA54" i="2"/>
  <c r="AB54" i="2" s="1"/>
  <c r="J54" i="2"/>
  <c r="G54" i="2"/>
  <c r="F54" i="2"/>
  <c r="AA53" i="2"/>
  <c r="AB53" i="2" s="1"/>
  <c r="J53" i="2"/>
  <c r="F53" i="2"/>
  <c r="G53" i="2" s="1"/>
  <c r="S52" i="2"/>
  <c r="AA52" i="2" s="1"/>
  <c r="J52" i="2"/>
  <c r="I52" i="2"/>
  <c r="F52" i="2"/>
  <c r="G52" i="2" s="1"/>
  <c r="AC51" i="2"/>
  <c r="AA51" i="2"/>
  <c r="AB51" i="2" s="1"/>
  <c r="J51" i="2"/>
  <c r="G51" i="2"/>
  <c r="AA50" i="2"/>
  <c r="AB50" i="2" s="1"/>
  <c r="J50" i="2"/>
  <c r="AC50" i="2" s="1"/>
  <c r="F50" i="2"/>
  <c r="G50" i="2" s="1"/>
  <c r="AC49" i="2"/>
  <c r="AB49" i="2"/>
  <c r="AA49" i="2"/>
  <c r="J49" i="2"/>
  <c r="G49" i="2"/>
  <c r="AC48" i="2"/>
  <c r="AA48" i="2"/>
  <c r="AB48" i="2" s="1"/>
  <c r="J48" i="2"/>
  <c r="G48" i="2"/>
  <c r="AA47" i="2"/>
  <c r="AB47" i="2" s="1"/>
  <c r="J47" i="2"/>
  <c r="AC47" i="2" s="1"/>
  <c r="G47" i="2"/>
  <c r="AA46" i="2"/>
  <c r="AC46" i="2" s="1"/>
  <c r="J46" i="2"/>
  <c r="F46" i="2"/>
  <c r="G46" i="2" s="1"/>
  <c r="AC45" i="2"/>
  <c r="AA45" i="2"/>
  <c r="AB45" i="2" s="1"/>
  <c r="J45" i="2"/>
  <c r="G45" i="2"/>
  <c r="F45" i="2"/>
  <c r="AA44" i="2"/>
  <c r="AC44" i="2" s="1"/>
  <c r="J44" i="2"/>
  <c r="G44" i="2"/>
  <c r="AA43" i="2"/>
  <c r="I43" i="2"/>
  <c r="J43" i="2" s="1"/>
  <c r="AA42" i="2"/>
  <c r="AC42" i="2" s="1"/>
  <c r="J42" i="2"/>
  <c r="F42" i="2"/>
  <c r="G42" i="2" s="1"/>
  <c r="P41" i="2"/>
  <c r="AA41" i="2" s="1"/>
  <c r="AB41" i="2" s="1"/>
  <c r="J41" i="2"/>
  <c r="I41" i="2"/>
  <c r="G41" i="2"/>
  <c r="AC40" i="2"/>
  <c r="AB40" i="2"/>
  <c r="AA40" i="2"/>
  <c r="J40" i="2"/>
  <c r="G40" i="2"/>
  <c r="AC39" i="2"/>
  <c r="AA39" i="2"/>
  <c r="AB39" i="2" s="1"/>
  <c r="J39" i="2"/>
  <c r="G39" i="2"/>
  <c r="F39" i="2"/>
  <c r="AA38" i="2"/>
  <c r="AC38" i="2" s="1"/>
  <c r="J38" i="2"/>
  <c r="F38" i="2"/>
  <c r="G38" i="2" s="1"/>
  <c r="AA37" i="2"/>
  <c r="I37" i="2"/>
  <c r="J37" i="2" s="1"/>
  <c r="AC37" i="2" s="1"/>
  <c r="L36" i="2"/>
  <c r="AA36" i="2" s="1"/>
  <c r="AB36" i="2" s="1"/>
  <c r="J36" i="2"/>
  <c r="AC36" i="2" s="1"/>
  <c r="G36" i="2"/>
  <c r="AA35" i="2"/>
  <c r="AB35" i="2" s="1"/>
  <c r="J35" i="2"/>
  <c r="AC35" i="2" s="1"/>
  <c r="G35" i="2"/>
  <c r="AA34" i="2"/>
  <c r="AC34" i="2" s="1"/>
  <c r="J34" i="2"/>
  <c r="G34" i="2"/>
  <c r="AC33" i="2"/>
  <c r="AB33" i="2"/>
  <c r="AA33" i="2"/>
  <c r="J33" i="2"/>
  <c r="G33" i="2"/>
  <c r="AA32" i="2"/>
  <c r="I32" i="2"/>
  <c r="J32" i="2" s="1"/>
  <c r="AC32" i="2" s="1"/>
  <c r="AA31" i="2"/>
  <c r="AB31" i="2" s="1"/>
  <c r="J31" i="2"/>
  <c r="G31" i="2"/>
  <c r="AC30" i="2"/>
  <c r="AB30" i="2"/>
  <c r="AA30" i="2"/>
  <c r="J30" i="2"/>
  <c r="G30" i="2"/>
  <c r="S29" i="2"/>
  <c r="AA29" i="2" s="1"/>
  <c r="J29" i="2"/>
  <c r="I29" i="2"/>
  <c r="G29" i="2"/>
  <c r="S28" i="2"/>
  <c r="P28" i="2"/>
  <c r="P73" i="2" s="1"/>
  <c r="L87" i="2" s="1"/>
  <c r="J28" i="2"/>
  <c r="G28" i="2"/>
  <c r="AA27" i="2"/>
  <c r="AC27" i="2" s="1"/>
  <c r="J27" i="2"/>
  <c r="G27" i="2"/>
  <c r="AC26" i="2"/>
  <c r="AB26" i="2"/>
  <c r="AA26" i="2"/>
  <c r="J26" i="2"/>
  <c r="G26" i="2"/>
  <c r="AC25" i="2"/>
  <c r="AA25" i="2"/>
  <c r="AB25" i="2" s="1"/>
  <c r="J25" i="2"/>
  <c r="G25" i="2"/>
  <c r="S24" i="2"/>
  <c r="AA24" i="2" s="1"/>
  <c r="AB24" i="2" s="1"/>
  <c r="Q24" i="2"/>
  <c r="H24" i="2"/>
  <c r="J24" i="2" s="1"/>
  <c r="G24" i="2"/>
  <c r="Q23" i="2"/>
  <c r="AA23" i="2" s="1"/>
  <c r="H23" i="2"/>
  <c r="J23" i="2" s="1"/>
  <c r="AC23" i="2" s="1"/>
  <c r="F23" i="2"/>
  <c r="G23" i="2" s="1"/>
  <c r="AA22" i="2"/>
  <c r="AB22" i="2" s="1"/>
  <c r="J22" i="2"/>
  <c r="AC22" i="2" s="1"/>
  <c r="G22" i="2"/>
  <c r="AA21" i="2"/>
  <c r="AC21" i="2" s="1"/>
  <c r="J21" i="2"/>
  <c r="G21" i="2"/>
  <c r="AA20" i="2"/>
  <c r="H20" i="2"/>
  <c r="J20" i="2" s="1"/>
  <c r="G20" i="2"/>
  <c r="AA19" i="2"/>
  <c r="AB19" i="2" s="1"/>
  <c r="J19" i="2"/>
  <c r="AC19" i="2" s="1"/>
  <c r="H19" i="2"/>
  <c r="G19" i="2"/>
  <c r="L18" i="2"/>
  <c r="L73" i="2" s="1"/>
  <c r="H18" i="2"/>
  <c r="J18" i="2" s="1"/>
  <c r="AA17" i="2"/>
  <c r="AB17" i="2" s="1"/>
  <c r="H17" i="2"/>
  <c r="J17" i="2" s="1"/>
  <c r="AC17" i="2" s="1"/>
  <c r="G17" i="2"/>
  <c r="AA16" i="2"/>
  <c r="I16" i="2"/>
  <c r="I73" i="2" s="1"/>
  <c r="AA15" i="2"/>
  <c r="AB15" i="2" s="1"/>
  <c r="J15" i="2"/>
  <c r="AC15" i="2" s="1"/>
  <c r="H15" i="2"/>
  <c r="G15" i="2"/>
  <c r="AA14" i="2"/>
  <c r="H14" i="2"/>
  <c r="J14" i="2" s="1"/>
  <c r="AA13" i="2"/>
  <c r="AB13" i="2" s="1"/>
  <c r="J13" i="2"/>
  <c r="AC13" i="2" s="1"/>
  <c r="H13" i="2"/>
  <c r="G13" i="2"/>
  <c r="AA12" i="2"/>
  <c r="H12" i="2"/>
  <c r="G12" i="2" s="1"/>
  <c r="N11" i="2"/>
  <c r="AA11" i="2" s="1"/>
  <c r="AB11" i="2" s="1"/>
  <c r="J11" i="2"/>
  <c r="AC11" i="2" s="1"/>
  <c r="G11" i="2"/>
  <c r="AA10" i="2"/>
  <c r="H10" i="2"/>
  <c r="G10" i="2" s="1"/>
  <c r="AA9" i="2"/>
  <c r="H9" i="2"/>
  <c r="J9" i="2" s="1"/>
  <c r="AC9" i="2" s="1"/>
  <c r="G9" i="2"/>
  <c r="S8" i="2"/>
  <c r="S73" i="2" s="1"/>
  <c r="L90" i="2" s="1"/>
  <c r="J8" i="2"/>
  <c r="H8" i="2"/>
  <c r="G8" i="2"/>
  <c r="AA7" i="2"/>
  <c r="H7" i="2"/>
  <c r="H73" i="2" s="1"/>
  <c r="G7" i="2"/>
  <c r="AA6" i="2"/>
  <c r="J6" i="2"/>
  <c r="AC6" i="2" s="1"/>
  <c r="H6" i="2"/>
  <c r="G6" i="2"/>
  <c r="AC5" i="2"/>
  <c r="AB5" i="2"/>
  <c r="AA5" i="2"/>
  <c r="J5" i="2"/>
  <c r="F5" i="2"/>
  <c r="AC43" i="2" l="1"/>
  <c r="AB43" i="2"/>
  <c r="L82" i="2"/>
  <c r="AC29" i="2"/>
  <c r="AB29" i="2"/>
  <c r="AC24" i="2"/>
  <c r="AC28" i="2"/>
  <c r="AB32" i="2"/>
  <c r="AB37" i="2"/>
  <c r="AC41" i="2"/>
  <c r="AC52" i="2"/>
  <c r="AB52" i="2"/>
  <c r="AB9" i="2"/>
  <c r="AC20" i="2"/>
  <c r="AB20" i="2"/>
  <c r="AB16" i="2"/>
  <c r="AC14" i="2"/>
  <c r="AB14" i="2"/>
  <c r="AB23" i="2"/>
  <c r="G14" i="2"/>
  <c r="G5" i="2"/>
  <c r="J10" i="2"/>
  <c r="AC10" i="2" s="1"/>
  <c r="AB34" i="2"/>
  <c r="AB38" i="2"/>
  <c r="AB42" i="2"/>
  <c r="AB57" i="2"/>
  <c r="AB6" i="2"/>
  <c r="AC31" i="2"/>
  <c r="AC53" i="2"/>
  <c r="AA18" i="2"/>
  <c r="AB18" i="2" s="1"/>
  <c r="G32" i="2"/>
  <c r="F43" i="2"/>
  <c r="G43" i="2" s="1"/>
  <c r="L95" i="2"/>
  <c r="H3" i="2"/>
  <c r="AB44" i="2"/>
  <c r="AB55" i="2"/>
  <c r="AB59" i="2"/>
  <c r="N73" i="2"/>
  <c r="L84" i="2" s="1"/>
  <c r="J16" i="2"/>
  <c r="AC16" i="2" s="1"/>
  <c r="AB21" i="2"/>
  <c r="J3" i="2"/>
  <c r="J7" i="2"/>
  <c r="J73" i="2" s="1"/>
  <c r="J12" i="2"/>
  <c r="F37" i="2"/>
  <c r="G37" i="2" s="1"/>
  <c r="I3" i="2"/>
  <c r="AA8" i="2"/>
  <c r="G18" i="2"/>
  <c r="AA28" i="2"/>
  <c r="AB28" i="2" s="1"/>
  <c r="Q73" i="2"/>
  <c r="L88" i="2" s="1"/>
  <c r="AB27" i="2"/>
  <c r="AB46" i="2"/>
  <c r="F73" i="2" l="1"/>
  <c r="AB10" i="2"/>
  <c r="AC8" i="2"/>
  <c r="AB8" i="2"/>
  <c r="G73" i="2"/>
  <c r="AC12" i="2"/>
  <c r="AB12" i="2"/>
  <c r="L74" i="2"/>
  <c r="L78" i="2" s="1"/>
  <c r="AB7" i="2"/>
  <c r="AB73" i="2" s="1"/>
  <c r="AC7" i="2"/>
  <c r="L94" i="2"/>
  <c r="L96" i="2" s="1"/>
  <c r="L99" i="2" s="1"/>
  <c r="M99" i="2" s="1"/>
  <c r="L117" i="2" s="1"/>
  <c r="L116" i="2" s="1"/>
  <c r="AC18" i="2"/>
  <c r="AH10" i="2"/>
  <c r="AA73" i="2"/>
  <c r="AC73" i="2" l="1"/>
  <c r="AC3" i="2"/>
  <c r="F81" i="3" l="1"/>
  <c r="J80" i="3"/>
  <c r="V70" i="3"/>
  <c r="J90" i="3" s="1"/>
  <c r="U70" i="3"/>
  <c r="T70" i="3"/>
  <c r="S70" i="3"/>
  <c r="J73" i="3" s="1"/>
  <c r="R70" i="3"/>
  <c r="P70" i="3"/>
  <c r="J86" i="3" s="1"/>
  <c r="O70" i="3"/>
  <c r="J85" i="3" s="1"/>
  <c r="N70" i="3"/>
  <c r="J84" i="3" s="1"/>
  <c r="M70" i="3"/>
  <c r="J83" i="3" s="1"/>
  <c r="K70" i="3"/>
  <c r="W69" i="3"/>
  <c r="I69" i="3"/>
  <c r="E69" i="3"/>
  <c r="F69" i="3" s="1"/>
  <c r="X69" i="3" s="1"/>
  <c r="Y69" i="3" s="1"/>
  <c r="W68" i="3"/>
  <c r="I68" i="3"/>
  <c r="E68" i="3"/>
  <c r="F68" i="3" s="1"/>
  <c r="X68" i="3" s="1"/>
  <c r="Y68" i="3" s="1"/>
  <c r="W67" i="3"/>
  <c r="Y67" i="3" s="1"/>
  <c r="I67" i="3"/>
  <c r="E67" i="3"/>
  <c r="F67" i="3" s="1"/>
  <c r="X67" i="3" s="1"/>
  <c r="W66" i="3"/>
  <c r="Y66" i="3" s="1"/>
  <c r="I66" i="3"/>
  <c r="F66" i="3"/>
  <c r="X66" i="3" s="1"/>
  <c r="E66" i="3"/>
  <c r="W65" i="3"/>
  <c r="I65" i="3"/>
  <c r="E65" i="3"/>
  <c r="F65" i="3" s="1"/>
  <c r="X65" i="3" s="1"/>
  <c r="Y65" i="3" s="1"/>
  <c r="W64" i="3"/>
  <c r="I64" i="3"/>
  <c r="E64" i="3"/>
  <c r="F64" i="3" s="1"/>
  <c r="X64" i="3" s="1"/>
  <c r="Y64" i="3" s="1"/>
  <c r="W63" i="3"/>
  <c r="I63" i="3"/>
  <c r="E63" i="3"/>
  <c r="F63" i="3" s="1"/>
  <c r="X63" i="3" s="1"/>
  <c r="W62" i="3"/>
  <c r="Y62" i="3" s="1"/>
  <c r="I62" i="3"/>
  <c r="F62" i="3"/>
  <c r="X62" i="3" s="1"/>
  <c r="E62" i="3"/>
  <c r="W61" i="3"/>
  <c r="I61" i="3"/>
  <c r="F61" i="3"/>
  <c r="X61" i="3" s="1"/>
  <c r="Y61" i="3" s="1"/>
  <c r="X60" i="3"/>
  <c r="Y60" i="3" s="1"/>
  <c r="W60" i="3"/>
  <c r="I60" i="3"/>
  <c r="F60" i="3"/>
  <c r="E60" i="3"/>
  <c r="W59" i="3"/>
  <c r="Y59" i="3" s="1"/>
  <c r="I59" i="3"/>
  <c r="F59" i="3"/>
  <c r="X59" i="3" s="1"/>
  <c r="E59" i="3"/>
  <c r="W58" i="3"/>
  <c r="Y58" i="3" s="1"/>
  <c r="I58" i="3"/>
  <c r="E58" i="3"/>
  <c r="F58" i="3" s="1"/>
  <c r="X58" i="3" s="1"/>
  <c r="W57" i="3"/>
  <c r="I57" i="3"/>
  <c r="E57" i="3"/>
  <c r="F57" i="3" s="1"/>
  <c r="X57" i="3" s="1"/>
  <c r="Y57" i="3" s="1"/>
  <c r="X56" i="3"/>
  <c r="Y56" i="3" s="1"/>
  <c r="W56" i="3"/>
  <c r="I56" i="3"/>
  <c r="F56" i="3"/>
  <c r="E56" i="3"/>
  <c r="W55" i="3"/>
  <c r="Y55" i="3" s="1"/>
  <c r="I55" i="3"/>
  <c r="F55" i="3"/>
  <c r="X55" i="3" s="1"/>
  <c r="E55" i="3"/>
  <c r="W54" i="3"/>
  <c r="Y54" i="3" s="1"/>
  <c r="I54" i="3"/>
  <c r="E54" i="3"/>
  <c r="F54" i="3" s="1"/>
  <c r="X54" i="3" s="1"/>
  <c r="W53" i="3"/>
  <c r="I53" i="3"/>
  <c r="E53" i="3"/>
  <c r="F53" i="3" s="1"/>
  <c r="X53" i="3" s="1"/>
  <c r="Y53" i="3" s="1"/>
  <c r="W52" i="3"/>
  <c r="Q52" i="3"/>
  <c r="I52" i="3"/>
  <c r="H52" i="3"/>
  <c r="E52" i="3"/>
  <c r="F52" i="3" s="1"/>
  <c r="X52" i="3" s="1"/>
  <c r="Y52" i="3" s="1"/>
  <c r="X51" i="3"/>
  <c r="Y51" i="3" s="1"/>
  <c r="W51" i="3"/>
  <c r="I51" i="3"/>
  <c r="F51" i="3"/>
  <c r="W50" i="3"/>
  <c r="I50" i="3"/>
  <c r="F50" i="3"/>
  <c r="X50" i="3" s="1"/>
  <c r="E50" i="3"/>
  <c r="W49" i="3"/>
  <c r="I49" i="3"/>
  <c r="F49" i="3"/>
  <c r="X49" i="3" s="1"/>
  <c r="Y49" i="3" s="1"/>
  <c r="X48" i="3"/>
  <c r="Y48" i="3" s="1"/>
  <c r="W48" i="3"/>
  <c r="I48" i="3"/>
  <c r="F48" i="3"/>
  <c r="W47" i="3"/>
  <c r="I47" i="3"/>
  <c r="F47" i="3"/>
  <c r="X47" i="3" s="1"/>
  <c r="W46" i="3"/>
  <c r="I46" i="3"/>
  <c r="E46" i="3"/>
  <c r="F46" i="3" s="1"/>
  <c r="X46" i="3" s="1"/>
  <c r="Y46" i="3" s="1"/>
  <c r="X45" i="3"/>
  <c r="Y45" i="3" s="1"/>
  <c r="W45" i="3"/>
  <c r="I45" i="3"/>
  <c r="F45" i="3"/>
  <c r="E45" i="3"/>
  <c r="W44" i="3"/>
  <c r="Y44" i="3" s="1"/>
  <c r="I44" i="3"/>
  <c r="F44" i="3"/>
  <c r="X44" i="3" s="1"/>
  <c r="W43" i="3"/>
  <c r="H43" i="3"/>
  <c r="I43" i="3" s="1"/>
  <c r="E43" i="3"/>
  <c r="F43" i="3" s="1"/>
  <c r="X43" i="3" s="1"/>
  <c r="Y43" i="3" s="1"/>
  <c r="W42" i="3"/>
  <c r="I42" i="3"/>
  <c r="E42" i="3"/>
  <c r="F42" i="3" s="1"/>
  <c r="X42" i="3" s="1"/>
  <c r="Y42" i="3" s="1"/>
  <c r="X41" i="3"/>
  <c r="Y41" i="3" s="1"/>
  <c r="W41" i="3"/>
  <c r="N41" i="3"/>
  <c r="I41" i="3"/>
  <c r="H41" i="3"/>
  <c r="F41" i="3"/>
  <c r="X40" i="3"/>
  <c r="W40" i="3"/>
  <c r="Y40" i="3" s="1"/>
  <c r="I40" i="3"/>
  <c r="F40" i="3"/>
  <c r="W39" i="3"/>
  <c r="Y39" i="3" s="1"/>
  <c r="I39" i="3"/>
  <c r="E39" i="3"/>
  <c r="F39" i="3" s="1"/>
  <c r="X39" i="3" s="1"/>
  <c r="W38" i="3"/>
  <c r="I38" i="3"/>
  <c r="E38" i="3"/>
  <c r="F38" i="3" s="1"/>
  <c r="X38" i="3" s="1"/>
  <c r="Y38" i="3" s="1"/>
  <c r="W37" i="3"/>
  <c r="H37" i="3"/>
  <c r="I37" i="3" s="1"/>
  <c r="E37" i="3"/>
  <c r="F37" i="3" s="1"/>
  <c r="X37" i="3" s="1"/>
  <c r="Y37" i="3" s="1"/>
  <c r="X36" i="3"/>
  <c r="W36" i="3"/>
  <c r="Y36" i="3" s="1"/>
  <c r="J36" i="3"/>
  <c r="I36" i="3"/>
  <c r="F36" i="3"/>
  <c r="W35" i="3"/>
  <c r="I35" i="3"/>
  <c r="F35" i="3"/>
  <c r="X35" i="3" s="1"/>
  <c r="W34" i="3"/>
  <c r="I34" i="3"/>
  <c r="F34" i="3"/>
  <c r="X34" i="3" s="1"/>
  <c r="Y34" i="3" s="1"/>
  <c r="X33" i="3"/>
  <c r="W33" i="3"/>
  <c r="Y33" i="3" s="1"/>
  <c r="I33" i="3"/>
  <c r="F33" i="3"/>
  <c r="W32" i="3"/>
  <c r="Y32" i="3" s="1"/>
  <c r="H32" i="3"/>
  <c r="I32" i="3" s="1"/>
  <c r="F32" i="3"/>
  <c r="X32" i="3" s="1"/>
  <c r="W31" i="3"/>
  <c r="I31" i="3"/>
  <c r="F31" i="3"/>
  <c r="X31" i="3" s="1"/>
  <c r="Y31" i="3" s="1"/>
  <c r="X30" i="3"/>
  <c r="W30" i="3"/>
  <c r="Y30" i="3" s="1"/>
  <c r="I30" i="3"/>
  <c r="F30" i="3"/>
  <c r="Q29" i="3"/>
  <c r="W29" i="3" s="1"/>
  <c r="H29" i="3"/>
  <c r="F29" i="3" s="1"/>
  <c r="X29" i="3" s="1"/>
  <c r="Q28" i="3"/>
  <c r="N28" i="3"/>
  <c r="W28" i="3" s="1"/>
  <c r="Y28" i="3" s="1"/>
  <c r="I28" i="3"/>
  <c r="F28" i="3"/>
  <c r="X28" i="3" s="1"/>
  <c r="W27" i="3"/>
  <c r="I27" i="3"/>
  <c r="F27" i="3"/>
  <c r="X27" i="3" s="1"/>
  <c r="Y27" i="3" s="1"/>
  <c r="X26" i="3"/>
  <c r="W26" i="3"/>
  <c r="Y26" i="3" s="1"/>
  <c r="I26" i="3"/>
  <c r="F26" i="3"/>
  <c r="W25" i="3"/>
  <c r="G25" i="3"/>
  <c r="I25" i="3" s="1"/>
  <c r="F25" i="3"/>
  <c r="X25" i="3" s="1"/>
  <c r="E25" i="3"/>
  <c r="Q24" i="3"/>
  <c r="O24" i="3"/>
  <c r="W24" i="3" s="1"/>
  <c r="G24" i="3"/>
  <c r="F24" i="3" s="1"/>
  <c r="X24" i="3" s="1"/>
  <c r="E24" i="3"/>
  <c r="O23" i="3"/>
  <c r="W23" i="3" s="1"/>
  <c r="G23" i="3"/>
  <c r="F23" i="3" s="1"/>
  <c r="X23" i="3" s="1"/>
  <c r="E23" i="3"/>
  <c r="W22" i="3"/>
  <c r="I22" i="3"/>
  <c r="F22" i="3"/>
  <c r="X22" i="3" s="1"/>
  <c r="Y21" i="3"/>
  <c r="X21" i="3"/>
  <c r="W21" i="3"/>
  <c r="I21" i="3"/>
  <c r="F21" i="3"/>
  <c r="W20" i="3"/>
  <c r="I20" i="3"/>
  <c r="G20" i="3"/>
  <c r="F20" i="3" s="1"/>
  <c r="X20" i="3" s="1"/>
  <c r="W19" i="3"/>
  <c r="Y19" i="3" s="1"/>
  <c r="G19" i="3"/>
  <c r="I19" i="3" s="1"/>
  <c r="F19" i="3"/>
  <c r="X19" i="3" s="1"/>
  <c r="W18" i="3"/>
  <c r="J18" i="3"/>
  <c r="J70" i="3" s="1"/>
  <c r="G18" i="3"/>
  <c r="I18" i="3" s="1"/>
  <c r="F18" i="3"/>
  <c r="X18" i="3" s="1"/>
  <c r="Y18" i="3" s="1"/>
  <c r="Y17" i="3"/>
  <c r="X17" i="3"/>
  <c r="W17" i="3"/>
  <c r="I17" i="3"/>
  <c r="G17" i="3"/>
  <c r="F17" i="3"/>
  <c r="X16" i="3"/>
  <c r="W16" i="3"/>
  <c r="Y16" i="3" s="1"/>
  <c r="I16" i="3"/>
  <c r="F16" i="3"/>
  <c r="W15" i="3"/>
  <c r="G15" i="3"/>
  <c r="I15" i="3" s="1"/>
  <c r="F15" i="3"/>
  <c r="X15" i="3" s="1"/>
  <c r="W14" i="3"/>
  <c r="G14" i="3"/>
  <c r="I14" i="3" s="1"/>
  <c r="F14" i="3"/>
  <c r="X14" i="3" s="1"/>
  <c r="Y14" i="3" s="1"/>
  <c r="W13" i="3"/>
  <c r="G13" i="3"/>
  <c r="I13" i="3" s="1"/>
  <c r="W12" i="3"/>
  <c r="I12" i="3"/>
  <c r="G12" i="3"/>
  <c r="F12" i="3" s="1"/>
  <c r="X12" i="3" s="1"/>
  <c r="L11" i="3"/>
  <c r="L70" i="3" s="1"/>
  <c r="J81" i="3" s="1"/>
  <c r="I11" i="3"/>
  <c r="F11" i="3"/>
  <c r="X11" i="3" s="1"/>
  <c r="W10" i="3"/>
  <c r="G10" i="3"/>
  <c r="I10" i="3" s="1"/>
  <c r="F10" i="3"/>
  <c r="X10" i="3" s="1"/>
  <c r="Y10" i="3" s="1"/>
  <c r="Y9" i="3"/>
  <c r="X9" i="3"/>
  <c r="W9" i="3"/>
  <c r="I9" i="3"/>
  <c r="G9" i="3"/>
  <c r="F9" i="3"/>
  <c r="W8" i="3"/>
  <c r="Q8" i="3"/>
  <c r="Q70" i="3" s="1"/>
  <c r="J87" i="3" s="1"/>
  <c r="G8" i="3"/>
  <c r="I8" i="3" s="1"/>
  <c r="W7" i="3"/>
  <c r="Y7" i="3" s="1"/>
  <c r="I7" i="3"/>
  <c r="G7" i="3"/>
  <c r="F7" i="3" s="1"/>
  <c r="X7" i="3" s="1"/>
  <c r="W6" i="3"/>
  <c r="G6" i="3"/>
  <c r="G3" i="3" s="1"/>
  <c r="F6" i="3"/>
  <c r="X6" i="3" s="1"/>
  <c r="W5" i="3"/>
  <c r="I5" i="3"/>
  <c r="E5" i="3"/>
  <c r="E70" i="3" s="1"/>
  <c r="H3" i="3"/>
  <c r="J79" i="3" l="1"/>
  <c r="J89" i="3" s="1"/>
  <c r="J91" i="3" s="1"/>
  <c r="M91" i="3" s="1"/>
  <c r="J71" i="3"/>
  <c r="J75" i="3" s="1"/>
  <c r="Y23" i="3"/>
  <c r="Y25" i="3"/>
  <c r="Y50" i="3"/>
  <c r="Y12" i="3"/>
  <c r="Y15" i="3"/>
  <c r="Y35" i="3"/>
  <c r="Y63" i="3"/>
  <c r="Y8" i="3"/>
  <c r="Y24" i="3"/>
  <c r="Y6" i="3"/>
  <c r="Y20" i="3"/>
  <c r="Y22" i="3"/>
  <c r="Y29" i="3"/>
  <c r="Y47" i="3"/>
  <c r="I24" i="3"/>
  <c r="W70" i="3"/>
  <c r="F8" i="3"/>
  <c r="X8" i="3" s="1"/>
  <c r="F13" i="3"/>
  <c r="X13" i="3" s="1"/>
  <c r="Y13" i="3" s="1"/>
  <c r="I6" i="3"/>
  <c r="F5" i="3"/>
  <c r="E3" i="3"/>
  <c r="I23" i="3"/>
  <c r="I29" i="3"/>
  <c r="G70" i="3"/>
  <c r="H70" i="3"/>
  <c r="W11" i="3"/>
  <c r="Y11" i="3" s="1"/>
  <c r="F70" i="3" l="1"/>
  <c r="X5" i="3"/>
  <c r="F3" i="3"/>
  <c r="I3" i="3"/>
  <c r="AD10" i="3" s="1"/>
  <c r="I70" i="3"/>
  <c r="Y5" i="3" l="1"/>
  <c r="Y70" i="3" s="1"/>
  <c r="X70" i="3"/>
  <c r="J32" i="1" l="1"/>
  <c r="J31" i="1"/>
  <c r="J30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J10" i="1"/>
  <c r="H10" i="1"/>
  <c r="H9" i="1"/>
  <c r="H8" i="1"/>
  <c r="H7" i="1"/>
  <c r="H6" i="1"/>
  <c r="H5" i="1"/>
  <c r="J4" i="1"/>
  <c r="H3" i="1"/>
  <c r="H2" i="1"/>
  <c r="J2" i="1" l="1"/>
  <c r="J19" i="1"/>
  <c r="J8" i="1"/>
  <c r="J20" i="1"/>
  <c r="J35" i="1"/>
  <c r="J18" i="1"/>
  <c r="J34" i="1"/>
  <c r="J21" i="1"/>
  <c r="J36" i="1"/>
  <c r="J12" i="1"/>
  <c r="J33" i="1"/>
  <c r="J9" i="1"/>
  <c r="J22" i="1"/>
  <c r="J6" i="1"/>
  <c r="J7" i="1"/>
  <c r="J11" i="1"/>
  <c r="J23" i="1"/>
  <c r="J37" i="1"/>
  <c r="J24" i="1"/>
  <c r="J25" i="1"/>
  <c r="J13" i="1"/>
  <c r="J14" i="1"/>
  <c r="J26" i="1"/>
  <c r="J15" i="1"/>
  <c r="J27" i="1"/>
  <c r="J3" i="1"/>
  <c r="J16" i="1"/>
  <c r="J28" i="1"/>
  <c r="J5" i="1"/>
  <c r="J17" i="1"/>
  <c r="J29" i="1"/>
</calcChain>
</file>

<file path=xl/sharedStrings.xml><?xml version="1.0" encoding="utf-8"?>
<sst xmlns="http://schemas.openxmlformats.org/spreadsheetml/2006/main" count="829" uniqueCount="343">
  <si>
    <t>S. No</t>
  </si>
  <si>
    <t xml:space="preserve">Project </t>
  </si>
  <si>
    <t>Client</t>
  </si>
  <si>
    <t xml:space="preserve">Items </t>
  </si>
  <si>
    <t xml:space="preserve">Status </t>
  </si>
  <si>
    <t>PO Value</t>
  </si>
  <si>
    <t>Total Billing Ammount</t>
  </si>
  <si>
    <t>Pending Amount</t>
  </si>
  <si>
    <t xml:space="preserve">PO Date </t>
  </si>
  <si>
    <t>Project Period</t>
  </si>
  <si>
    <t xml:space="preserve">Technical 
Manager </t>
  </si>
  <si>
    <t xml:space="preserve">NTPC- Ecopark </t>
  </si>
  <si>
    <t>RIC</t>
  </si>
  <si>
    <t xml:space="preserve">CCTV </t>
  </si>
  <si>
    <t xml:space="preserve">In Progres </t>
  </si>
  <si>
    <t>Puran</t>
  </si>
  <si>
    <t>NCDC- HSCC</t>
  </si>
  <si>
    <t xml:space="preserve">Dyna Filter </t>
  </si>
  <si>
    <t>CCTV, FAS, BMS</t>
  </si>
  <si>
    <t>Satish</t>
  </si>
  <si>
    <t>TATA Power tamil Nadu</t>
  </si>
  <si>
    <t>Voltas</t>
  </si>
  <si>
    <t>BMS</t>
  </si>
  <si>
    <t xml:space="preserve">Not found </t>
  </si>
  <si>
    <t>Not found</t>
  </si>
  <si>
    <t xml:space="preserve">Anil </t>
  </si>
  <si>
    <t>Trump Tower M3M Grugaon</t>
  </si>
  <si>
    <t>M3M</t>
  </si>
  <si>
    <t>BGM</t>
  </si>
  <si>
    <t xml:space="preserve">Mahipal </t>
  </si>
  <si>
    <t>AIIMS - Delhi</t>
  </si>
  <si>
    <t>Krishna Const.</t>
  </si>
  <si>
    <t>CCTV, FAS, PA, EPBAX</t>
  </si>
  <si>
    <t xml:space="preserve">Satish </t>
  </si>
  <si>
    <t xml:space="preserve">M3M - Panipat </t>
  </si>
  <si>
    <t xml:space="preserve">Boom Barriers </t>
  </si>
  <si>
    <t xml:space="preserve">M3M- Capitol -113 R&amp;R </t>
  </si>
  <si>
    <t xml:space="preserve">CCTV , Boom , Access </t>
  </si>
  <si>
    <t xml:space="preserve">AB Mauri </t>
  </si>
  <si>
    <t xml:space="preserve">Bluestar </t>
  </si>
  <si>
    <t>FAS</t>
  </si>
  <si>
    <t xml:space="preserve">ITO Mumbai </t>
  </si>
  <si>
    <t xml:space="preserve">SPG </t>
  </si>
  <si>
    <t>FAS PA</t>
  </si>
  <si>
    <t>Vijay Satish - Technical</t>
  </si>
  <si>
    <t>SPG</t>
  </si>
  <si>
    <t xml:space="preserve">Jammu Railway Station </t>
  </si>
  <si>
    <t xml:space="preserve">MRC </t>
  </si>
  <si>
    <t>Grandthum Ref.No.289 (A)</t>
  </si>
  <si>
    <t>Bhutani Group</t>
  </si>
  <si>
    <t>CCTV</t>
  </si>
  <si>
    <t xml:space="preserve">Ram, Pooran </t>
  </si>
  <si>
    <t>Grandthum Ref.No.309</t>
  </si>
  <si>
    <t>Swing Barrier</t>
  </si>
  <si>
    <t>GGSIPU</t>
  </si>
  <si>
    <t xml:space="preserve">Labotek </t>
  </si>
  <si>
    <t>FAS, PA,</t>
  </si>
  <si>
    <t>16-04-2025</t>
  </si>
  <si>
    <t xml:space="preserve">Sanjay </t>
  </si>
  <si>
    <t xml:space="preserve">Max saket </t>
  </si>
  <si>
    <t>Hietachi</t>
  </si>
  <si>
    <t xml:space="preserve">BMS </t>
  </si>
  <si>
    <t>Ajay Chuahan, Vijay, Ravinder Sir</t>
  </si>
  <si>
    <t>M3M- Jewel (Ref.297)</t>
  </si>
  <si>
    <t>CCTV , Boom , ACS</t>
  </si>
  <si>
    <t>Mahipal</t>
  </si>
  <si>
    <t>M3M- Jewel</t>
  </si>
  <si>
    <t>Music</t>
  </si>
  <si>
    <t>M3M-  Paragon (296)</t>
  </si>
  <si>
    <t>CCTV, Boom Barrier, ACS</t>
  </si>
  <si>
    <t>M3M-  Paragon (295)</t>
  </si>
  <si>
    <t xml:space="preserve">M3M </t>
  </si>
  <si>
    <t>Music Systen</t>
  </si>
  <si>
    <t>Max Mohali</t>
  </si>
  <si>
    <t>Hitachi</t>
  </si>
  <si>
    <t>Ravinder Sir</t>
  </si>
  <si>
    <t>Ahluwalia</t>
  </si>
  <si>
    <t>ACS</t>
  </si>
  <si>
    <t>Central Park</t>
  </si>
  <si>
    <t>Kabir</t>
  </si>
  <si>
    <t>Vijay</t>
  </si>
  <si>
    <t>Central Park Flower Valley</t>
  </si>
  <si>
    <t>Crystaltown</t>
  </si>
  <si>
    <t>21-8-25</t>
  </si>
  <si>
    <t>Max Gurgaon (Ref.315)</t>
  </si>
  <si>
    <t xml:space="preserve">Sterling Wilson </t>
  </si>
  <si>
    <t>To Be Start</t>
  </si>
  <si>
    <t>14-07-2025</t>
  </si>
  <si>
    <t>NIPL Panipat</t>
  </si>
  <si>
    <t>Karaoke</t>
  </si>
  <si>
    <t>Corner Walk</t>
  </si>
  <si>
    <t>RFL - 9 (326)Service</t>
  </si>
  <si>
    <t>Relaxo</t>
  </si>
  <si>
    <t>RFL - 9 (327)Supply</t>
  </si>
  <si>
    <t>RFL - 6 (328)(service+supply)</t>
  </si>
  <si>
    <t>OMAXE- Hazratganj(329)</t>
  </si>
  <si>
    <t>Omaxe</t>
  </si>
  <si>
    <t>OMAXE Bahadur Garh (332)</t>
  </si>
  <si>
    <t>OMAXE Chandigarh-Isabela (333)</t>
  </si>
  <si>
    <t>OMAXE Chandigarh-Emred-C (334)</t>
  </si>
  <si>
    <t>DRDO - Srinigar ( Oscar)</t>
  </si>
  <si>
    <t>Vishal Infra</t>
  </si>
  <si>
    <t>MSME Technology Center Durg</t>
  </si>
  <si>
    <t>Rounak India</t>
  </si>
  <si>
    <t>ELV Work (ACS,CCTV,PA)</t>
  </si>
  <si>
    <t>(FY.25-26) Month Wise Billing details
as per Tally &amp; GST Portal wise</t>
  </si>
  <si>
    <t>Sr.No.</t>
  </si>
  <si>
    <t>Month</t>
  </si>
  <si>
    <t>amount</t>
  </si>
  <si>
    <t>Remarks</t>
  </si>
  <si>
    <t>Apr'25</t>
  </si>
  <si>
    <t>Tally Matched
as per Cal sheet</t>
  </si>
  <si>
    <t>May'25</t>
  </si>
  <si>
    <t xml:space="preserve">Jun'25-Delhi
</t>
  </si>
  <si>
    <t>June Total-6730463</t>
  </si>
  <si>
    <t>Jun'25UP-Tally-Jun</t>
  </si>
  <si>
    <t>Add Embrace in UP Branches
rs.125000/-</t>
  </si>
  <si>
    <t>Jul'25</t>
  </si>
  <si>
    <t>Aug'25</t>
  </si>
  <si>
    <t>Sep'25</t>
  </si>
  <si>
    <t>Oct'25.</t>
  </si>
  <si>
    <t>Nov'25</t>
  </si>
  <si>
    <t>Dec'25</t>
  </si>
  <si>
    <t>Total</t>
  </si>
  <si>
    <t>Tally matched
as Cal. sheet</t>
  </si>
  <si>
    <t>Less Credit Note 
till Dec'25</t>
  </si>
  <si>
    <t>-</t>
  </si>
  <si>
    <t>Final Sales</t>
  </si>
  <si>
    <t>till Nov_ tally Matched 
as on 30-11-25</t>
  </si>
  <si>
    <t>Final Sales Summary</t>
  </si>
  <si>
    <t>Up Tally</t>
  </si>
  <si>
    <t>Delhi Tally</t>
  </si>
  <si>
    <t>Total Sales
Till Dec'2025</t>
  </si>
  <si>
    <t>(2025-26) Month Wise Billing detailsas per Tally &amp; GST Portal wise</t>
  </si>
  <si>
    <t>Month-wise Billing MIS Report-2025</t>
  </si>
  <si>
    <t>Summary of Old &amp; New PO Balance, &amp;
FY25-26  Billing Details</t>
  </si>
  <si>
    <t>Billing Details (FY_2025-26)                                                                             Reporting date:30-11-2025</t>
  </si>
  <si>
    <t xml:space="preserve"> Total&gt;</t>
  </si>
  <si>
    <t>Billing 
Month</t>
  </si>
  <si>
    <t>Billing
 Month</t>
  </si>
  <si>
    <t>Credit 
Note</t>
  </si>
  <si>
    <t>Total Billing 
(F.Y.25-25)
till 30-11-2025</t>
  </si>
  <si>
    <t>Bill in FY-24-25</t>
  </si>
  <si>
    <t>FY 24-25 &amp; 25-26</t>
  </si>
  <si>
    <t>Report till 29-10-2025.</t>
  </si>
  <si>
    <t>Cleint's Name</t>
  </si>
  <si>
    <t>PO Number</t>
  </si>
  <si>
    <t>PO Date
will be fill</t>
  </si>
  <si>
    <t>Bill till
FY-24-25</t>
  </si>
  <si>
    <t xml:space="preserve">OLD PO 
Balance </t>
  </si>
  <si>
    <t>PO Value 
(25-26)</t>
  </si>
  <si>
    <t>Total PO Value
in hand</t>
  </si>
  <si>
    <t xml:space="preserve">Apr'2025
</t>
  </si>
  <si>
    <t xml:space="preserve">May'2025
</t>
  </si>
  <si>
    <t>Jun'2025</t>
  </si>
  <si>
    <t xml:space="preserve">Jul'2025
</t>
  </si>
  <si>
    <t xml:space="preserve">Aug'2025
</t>
  </si>
  <si>
    <t>Sep'2025</t>
  </si>
  <si>
    <t>Oct'2025</t>
  </si>
  <si>
    <t>Nov'2025</t>
  </si>
  <si>
    <t>Jul'2025</t>
  </si>
  <si>
    <t>Aug'2025</t>
  </si>
  <si>
    <t>Total Billing_as of now
after less 
Credit Note</t>
  </si>
  <si>
    <t>Apr'24 to Mar'25</t>
  </si>
  <si>
    <t>Total Billing</t>
  </si>
  <si>
    <t>Billing Type</t>
  </si>
  <si>
    <t>Project Head 
Name</t>
  </si>
  <si>
    <t>Angel Hyaat</t>
  </si>
  <si>
    <t>Satish Ji</t>
  </si>
  <si>
    <t>Krihsna Aiims</t>
  </si>
  <si>
    <t>Trump Tower</t>
  </si>
  <si>
    <t>SCO-113 Lekh</t>
  </si>
  <si>
    <t>M3M R&amp; R</t>
  </si>
  <si>
    <t>M3M-Panipat-Old</t>
  </si>
  <si>
    <t>Blue Star-AB Mauri</t>
  </si>
  <si>
    <t>M3M JEWEL -
Music System</t>
  </si>
  <si>
    <t>M3M -Paragon -
Music System</t>
  </si>
  <si>
    <t>M3M -Jewel Security
 System</t>
  </si>
  <si>
    <t>Lekh/Jewel 25/Security System and Access Control Work/LOA/2025/26</t>
  </si>
  <si>
    <t>Supply</t>
  </si>
  <si>
    <t>RA-01st Invoice to be raise</t>
  </si>
  <si>
    <t>M3M -Paragon-57
 Security System</t>
  </si>
  <si>
    <t>Paryapt/Paragon-57/Security System and Access Control Work/LOA/2025/81</t>
  </si>
  <si>
    <t>M3M -Corner Walk-Prompt-CCTV</t>
  </si>
  <si>
    <t>Prompt/Corner Walk/SITC/of CCTV Work for Loft Area/LOA/2024/343</t>
  </si>
  <si>
    <t>Mr Pooran</t>
  </si>
  <si>
    <t>Labotek GGIPU</t>
  </si>
  <si>
    <t>Mr Prakash</t>
  </si>
  <si>
    <t>Power House Jhajjar</t>
  </si>
  <si>
    <t>Ashu</t>
  </si>
  <si>
    <t>Completed
"The payment is still pending</t>
  </si>
  <si>
    <t>SPG-ITO Mumbai-ELV</t>
  </si>
  <si>
    <t>Satish Ji &amp; Vijay</t>
  </si>
  <si>
    <t>Invoice to be raise</t>
  </si>
  <si>
    <t>SPG-ITO Mumbai-BMS</t>
  </si>
  <si>
    <t>Satish Ji &amp; Pooran</t>
  </si>
  <si>
    <t>MRC-Jammu</t>
  </si>
  <si>
    <t>Invoice raised.</t>
  </si>
  <si>
    <t>RFL-AMC-Q4</t>
  </si>
  <si>
    <t>Sayed &amp; Sandeep</t>
  </si>
  <si>
    <t>PO Completed</t>
  </si>
  <si>
    <t>AL SOFTWEB - Grandthum_CCTV
Bhutani Group</t>
  </si>
  <si>
    <t>Pooran Ji</t>
  </si>
  <si>
    <t>RA-05th is done Invoice to be raise</t>
  </si>
  <si>
    <t>RIC-Eco Park</t>
  </si>
  <si>
    <t>PI Raises</t>
  </si>
  <si>
    <t>SPG-Hanumnagarh</t>
  </si>
  <si>
    <t>Completed</t>
  </si>
  <si>
    <t>NCDC-Dyna Filters-ELV</t>
  </si>
  <si>
    <t>NCDC-Dyna Filters-BMS</t>
  </si>
  <si>
    <t>Max Saket-Delhi-
BMS-Hitachi</t>
  </si>
  <si>
    <t>Ajay Chauhan
Ravinder Sharama</t>
  </si>
  <si>
    <t>RA02nd Done Invocie to be raise</t>
  </si>
  <si>
    <t>Max-Mohali-
Acces Control Ahluwalia</t>
  </si>
  <si>
    <t>RA5th_ Done Invocie to be raise</t>
  </si>
  <si>
    <t>Max-Mohali-BMS-Hitachi</t>
  </si>
  <si>
    <t>Central Park-Old</t>
  </si>
  <si>
    <t>Nestle AMC for 2 Site
Patna &amp; Serampore</t>
  </si>
  <si>
    <t>Sandeep Kaur</t>
  </si>
  <si>
    <t>SES Pending 
Cancelled this PO</t>
  </si>
  <si>
    <t>Hari Electric Work</t>
  </si>
  <si>
    <t>Nestle Bhiwandi</t>
  </si>
  <si>
    <t>Nestle Ponda-Goa</t>
  </si>
  <si>
    <t xml:space="preserve">Leighton Contactors </t>
  </si>
  <si>
    <t>HSS</t>
  </si>
  <si>
    <t>Angel-Ramai-Haryana</t>
  </si>
  <si>
    <t>Against V9's Quote</t>
  </si>
  <si>
    <t>Sanjay</t>
  </si>
  <si>
    <t xml:space="preserve">Embrace Infrasys </t>
  </si>
  <si>
    <t>EIPL-PO-252606</t>
  </si>
  <si>
    <t>Grandthum-Access Control</t>
  </si>
  <si>
    <t>ALSPL/V9/SB/25-
26/WO/-8</t>
  </si>
  <si>
    <t>DPS School</t>
  </si>
  <si>
    <t>PI Prepare Bill to be raise on Jul'25
MB Verifcation is pending from Pooran</t>
  </si>
  <si>
    <t>Marada-Nestle  
Serampore-Service Call</t>
  </si>
  <si>
    <t>GVD-Switch Billing</t>
  </si>
  <si>
    <t>STERLING-Max Gurgaon</t>
  </si>
  <si>
    <t>Nestle Raipur-
Paid Service</t>
  </si>
  <si>
    <t>Nestle Kheda-Paid</t>
  </si>
  <si>
    <t>Nestle (Ganaur)</t>
  </si>
  <si>
    <t>Avl India Pvt ltd</t>
  </si>
  <si>
    <t>Olive karoke</t>
  </si>
  <si>
    <t>Music System</t>
  </si>
  <si>
    <t>Nipl Panipat</t>
  </si>
  <si>
    <t>UTTIRNA/PANIPAT PH-2/SITC Of Automatic BoomBarrier/LOA/2025/68</t>
  </si>
  <si>
    <t>Ra done Materil to be deliver</t>
  </si>
  <si>
    <t>Pixel Info</t>
  </si>
  <si>
    <t>Return</t>
  </si>
  <si>
    <t>Done</t>
  </si>
  <si>
    <t>Crystaltown_New</t>
  </si>
  <si>
    <t>2000003682, Date:21-08-2025</t>
  </si>
  <si>
    <t>RELAXO RFL-6 (Service)</t>
  </si>
  <si>
    <t>RELAXO RFL- 9 (Service)</t>
  </si>
  <si>
    <t>RELAXO  RFL - 9 (Supply)</t>
  </si>
  <si>
    <t>RELAXO -MD House RK Dua</t>
  </si>
  <si>
    <t>RELAXO RFL-6 (Supply)</t>
  </si>
  <si>
    <t>OMAXE (Hazratganj-Lacknow)</t>
  </si>
  <si>
    <t>OML/R5L/11011203477</t>
  </si>
  <si>
    <t>PSM ENTERPRISES</t>
  </si>
  <si>
    <t>PSM/BMS/AMRT/25-26/001</t>
  </si>
  <si>
    <t>RELAXO -AMC</t>
  </si>
  <si>
    <t>OMAXE  (Bahadur Garh)</t>
  </si>
  <si>
    <t>OMAXE  (Chandigarh-Isabela)</t>
  </si>
  <si>
    <t>OMAXE  (Chandigarh-Emred-C)</t>
  </si>
  <si>
    <t>Nipl Panipat-CCTV</t>
  </si>
  <si>
    <t>Final</t>
  </si>
  <si>
    <t>Vishal Infra-November</t>
  </si>
  <si>
    <t>Vishal Infra-Oscar</t>
  </si>
  <si>
    <t>SPG-ITO-Control Module</t>
  </si>
  <si>
    <t>Grand Total</t>
  </si>
  <si>
    <t>Total Billing Booked on Tally till 30-11-2025.</t>
  </si>
  <si>
    <t>Less: Credit Note</t>
  </si>
  <si>
    <t>As per Tally and Working Matched, this is Final Sales
Till-30-11-25</t>
  </si>
  <si>
    <t>Final Month Wise Billing details
as per Tally Acts.</t>
  </si>
  <si>
    <t>Apr'25
Tally billing amt</t>
  </si>
  <si>
    <t>May'25
Tally billing amt</t>
  </si>
  <si>
    <t>Jun'25-Delhi
Tally billing amt
Till 26-06-25</t>
  </si>
  <si>
    <t>UP-Tally-Jun</t>
  </si>
  <si>
    <t>Nilp</t>
  </si>
  <si>
    <t>Jul'25
Tally billing amt</t>
  </si>
  <si>
    <t>Admin Po Value</t>
  </si>
  <si>
    <t>Aug'25-till 20-08-25
Tally billing amt</t>
  </si>
  <si>
    <t>Sep'25-till 30-09-25
Tally billing amt</t>
  </si>
  <si>
    <t>Oct'25-till 31.-10-25
Tally billing amt</t>
  </si>
  <si>
    <t>Oct'25-till 30-11-25
Tally billing amt</t>
  </si>
  <si>
    <t>Less</t>
  </si>
  <si>
    <t>Finla</t>
  </si>
  <si>
    <t>Tally matched
 as Cal. sheet</t>
  </si>
  <si>
    <t>Less Credit Note 
on Nov'25</t>
  </si>
  <si>
    <t>Matched-30-11-25</t>
  </si>
  <si>
    <t>Non Po</t>
  </si>
  <si>
    <t>Summary</t>
  </si>
  <si>
    <t>Installation (MB) billing as on 30-11-25
for party Wise
FY-25-26</t>
  </si>
  <si>
    <t>Total Value of MB</t>
  </si>
  <si>
    <t>Total Value of Supply</t>
  </si>
  <si>
    <t>Total Billing 
as of now-30-11-25</t>
  </si>
  <si>
    <t>Summary of Old &amp; New PO Balance, 
FY25-26  Billing Details</t>
  </si>
  <si>
    <t>Billing Details (FY_2025-26)                                                                             Reporting date:31-12-2025</t>
  </si>
  <si>
    <t>Total Billing
till 31-12-2025</t>
  </si>
  <si>
    <t>Billing_%</t>
  </si>
  <si>
    <t>Report till 31-12-2025.</t>
  </si>
  <si>
    <t>Project-24-25 &amp; 25-26</t>
  </si>
  <si>
    <t>01st Material
Delivery Date</t>
  </si>
  <si>
    <t>Dec'2025</t>
  </si>
  <si>
    <t>as of now
after less Credit Note</t>
  </si>
  <si>
    <t>%tage of PO Value's
Billing</t>
  </si>
  <si>
    <t>PO_Balance
in hand</t>
  </si>
  <si>
    <t>24-25</t>
  </si>
  <si>
    <t>full and final Bill for FAS &amp; PA</t>
  </si>
  <si>
    <t>24-25 &amp; 25-26</t>
  </si>
  <si>
    <t>RA-05th(CCTV Full and Final Biil
 is done Invoice to be raise</t>
  </si>
  <si>
    <t>Ra done, Invoice to be raise.</t>
  </si>
  <si>
    <t>RA-06th (MB bill to be raise Invoice.</t>
  </si>
  <si>
    <t>RA-09th done, Invoice to be raise
Check and approval pending from Cleint
side.</t>
  </si>
  <si>
    <t xml:space="preserve">to old </t>
  </si>
  <si>
    <t>MB RA03rd Bill is
Pending due to Client side.</t>
  </si>
  <si>
    <t>25-26</t>
  </si>
  <si>
    <t>RA-03rd done Invocie to be Raise</t>
  </si>
  <si>
    <t>Tally</t>
  </si>
  <si>
    <t>RA-03rd done Invocie to be Raise on Jan'25</t>
  </si>
  <si>
    <t>RA-01st Done, Invocie to be 
Raise.</t>
  </si>
  <si>
    <t>Nilp Panipat-Boom Barrier</t>
  </si>
  <si>
    <t>RELAXO RFL-6</t>
  </si>
  <si>
    <t>RELAXO RFL- 9</t>
  </si>
  <si>
    <t>RELAXO  RFL - 9</t>
  </si>
  <si>
    <t>Invoice raised as on 
18-12-2025</t>
  </si>
  <si>
    <t>RA-01st is done, Invoice to be
raise-Pending cleint side.</t>
  </si>
  <si>
    <t>AIM Power-Cornerwalk</t>
  </si>
  <si>
    <t>Po Completed</t>
  </si>
  <si>
    <t>I-Thum-Solutrean Building</t>
  </si>
  <si>
    <t>Total Billing Booked on Tally till 31-12-2025.</t>
  </si>
  <si>
    <t>Installation (MB) billing as on 31-12-25
for party Wise
FY-25-26</t>
  </si>
  <si>
    <t>Project</t>
  </si>
  <si>
    <t>Amount</t>
  </si>
  <si>
    <t>Grandthum</t>
  </si>
  <si>
    <t>AB Mauri</t>
  </si>
  <si>
    <t>Max Saket</t>
  </si>
  <si>
    <t>SCO-113</t>
  </si>
  <si>
    <t>still handing over
Pending as well as RA Bill pending from cleint side</t>
  </si>
  <si>
    <t>Panipat-Old</t>
  </si>
  <si>
    <t>Nilp-Boom Barrier</t>
  </si>
  <si>
    <t>Cornerwalk</t>
  </si>
  <si>
    <t>Total Billing 
as of now-31-12-25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</si>
</sst>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#,##0.0"/>
    <numFmt numFmtId="165" formatCode="dd\-mm\-yyyy"/>
    <numFmt numFmtId="166" formatCode="_ [$₹-4009]\ * #,##0.00_ ;_ [$₹-4009]\ * \-#,##0.00_ ;_ [$₹-4009]\ * &quot;-&quot;??_ ;_ @_ "/>
    <numFmt numFmtId="167" formatCode="_(* #,##0.00_);_(* \(#,##0.00\);_(* &quot;-&quot;??_);_(@_)"/>
    <numFmt numFmtId="168" formatCode="_(* #,##0_);_(* \(#,##0\);_(* &quot;-&quot;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563C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sz val="11"/>
      <color theme="4" tint="-0.249977111117893"/>
      <name val="Calibri"/>
      <family val="2"/>
    </font>
    <font>
      <sz val="11"/>
      <color rgb="FF0563C1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  <scheme val="minor"/>
    </font>
    <font>
      <sz val="11"/>
      <color rgb="FF0563C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rgb="FF0000FF"/>
      <name val="Calibri"/>
      <family val="2"/>
    </font>
    <font>
      <sz val="11"/>
      <color theme="1"/>
      <name val="Aptos Narrow"/>
    </font>
    <font>
      <b/>
      <sz val="12"/>
      <color theme="1"/>
      <name val="Aptos Narrow"/>
    </font>
    <font>
      <b/>
      <sz val="11"/>
      <color theme="1"/>
      <name val="Aptos Narrow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000000"/>
      <name val="Calibri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000000"/>
      <name val="Calibri"/>
      <family val="2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" fontId="11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3" fontId="15" fillId="0" borderId="3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5" xfId="0" applyFont="1" applyBorder="1" applyAlignment="1">
      <alignment wrapText="1"/>
    </xf>
    <xf numFmtId="0" fontId="17" fillId="0" borderId="7" xfId="0" applyFont="1" applyBorder="1" applyAlignment="1">
      <alignment wrapText="1"/>
    </xf>
    <xf numFmtId="0" fontId="19" fillId="0" borderId="8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4" fontId="17" fillId="0" borderId="8" xfId="0" applyNumberFormat="1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8" fillId="0" borderId="10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3" fontId="18" fillId="0" borderId="8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wrapText="1"/>
    </xf>
    <xf numFmtId="4" fontId="17" fillId="0" borderId="12" xfId="0" applyNumberFormat="1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14" xfId="0" applyFont="1" applyBorder="1" applyAlignment="1">
      <alignment horizontal="center" wrapText="1"/>
    </xf>
    <xf numFmtId="0" fontId="17" fillId="0" borderId="23" xfId="0" applyFont="1" applyBorder="1" applyAlignment="1">
      <alignment wrapText="1"/>
    </xf>
    <xf numFmtId="0" fontId="18" fillId="4" borderId="9" xfId="0" applyFont="1" applyFill="1" applyBorder="1" applyAlignment="1">
      <alignment horizontal="center" vertical="center" wrapText="1"/>
    </xf>
    <xf numFmtId="0" fontId="18" fillId="5" borderId="24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3" fontId="18" fillId="6" borderId="8" xfId="0" applyNumberFormat="1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wrapText="1"/>
    </xf>
    <xf numFmtId="0" fontId="18" fillId="6" borderId="10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23" fillId="0" borderId="26" xfId="0" applyFont="1" applyBorder="1" applyAlignment="1">
      <alignment vertical="center"/>
    </xf>
    <xf numFmtId="0" fontId="23" fillId="0" borderId="27" xfId="0" applyFont="1" applyBorder="1" applyAlignment="1">
      <alignment vertical="center"/>
    </xf>
    <xf numFmtId="0" fontId="24" fillId="0" borderId="27" xfId="0" applyFont="1" applyBorder="1" applyAlignment="1">
      <alignment horizontal="right"/>
    </xf>
    <xf numFmtId="3" fontId="24" fillId="0" borderId="14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9" borderId="28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168" fontId="24" fillId="11" borderId="14" xfId="1" applyNumberFormat="1" applyFont="1" applyFill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9" borderId="29" xfId="0" applyFont="1" applyFill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12" borderId="29" xfId="0" applyFont="1" applyFill="1" applyBorder="1" applyAlignment="1">
      <alignment horizontal="center" vertical="center" wrapText="1"/>
    </xf>
    <xf numFmtId="0" fontId="2" fillId="13" borderId="28" xfId="0" applyFont="1" applyFill="1" applyBorder="1" applyAlignment="1">
      <alignment horizontal="center" vertical="center" wrapText="1"/>
    </xf>
    <xf numFmtId="0" fontId="2" fillId="13" borderId="28" xfId="0" applyFont="1" applyFill="1" applyBorder="1" applyAlignment="1">
      <alignment horizontal="center" vertical="center"/>
    </xf>
    <xf numFmtId="0" fontId="20" fillId="0" borderId="30" xfId="0" applyFont="1" applyBorder="1"/>
    <xf numFmtId="0" fontId="20" fillId="0" borderId="31" xfId="0" applyFont="1" applyBorder="1"/>
    <xf numFmtId="168" fontId="20" fillId="0" borderId="31" xfId="1" applyNumberFormat="1" applyFont="1" applyBorder="1"/>
    <xf numFmtId="3" fontId="20" fillId="0" borderId="31" xfId="0" applyNumberFormat="1" applyFont="1" applyBorder="1"/>
    <xf numFmtId="168" fontId="23" fillId="0" borderId="31" xfId="1" applyNumberFormat="1" applyFont="1" applyFill="1" applyBorder="1"/>
    <xf numFmtId="3" fontId="20" fillId="0" borderId="32" xfId="0" applyNumberFormat="1" applyFont="1" applyBorder="1"/>
    <xf numFmtId="43" fontId="20" fillId="0" borderId="33" xfId="1" applyFont="1" applyFill="1" applyBorder="1"/>
    <xf numFmtId="43" fontId="23" fillId="9" borderId="33" xfId="1" applyFont="1" applyFill="1" applyBorder="1"/>
    <xf numFmtId="43" fontId="20" fillId="12" borderId="33" xfId="1" applyFont="1" applyFill="1" applyBorder="1"/>
    <xf numFmtId="3" fontId="26" fillId="0" borderId="31" xfId="0" applyNumberFormat="1" applyFont="1" applyBorder="1"/>
    <xf numFmtId="0" fontId="26" fillId="0" borderId="31" xfId="0" applyFont="1" applyBorder="1"/>
    <xf numFmtId="0" fontId="20" fillId="0" borderId="18" xfId="0" applyFont="1" applyBorder="1"/>
    <xf numFmtId="0" fontId="20" fillId="0" borderId="3" xfId="0" applyFont="1" applyBorder="1"/>
    <xf numFmtId="3" fontId="20" fillId="0" borderId="3" xfId="0" applyNumberFormat="1" applyFont="1" applyBorder="1"/>
    <xf numFmtId="3" fontId="20" fillId="0" borderId="19" xfId="0" applyNumberFormat="1" applyFont="1" applyBorder="1"/>
    <xf numFmtId="43" fontId="20" fillId="0" borderId="34" xfId="1" applyFont="1" applyFill="1" applyBorder="1"/>
    <xf numFmtId="3" fontId="26" fillId="0" borderId="3" xfId="0" applyNumberFormat="1" applyFont="1" applyBorder="1"/>
    <xf numFmtId="0" fontId="26" fillId="0" borderId="3" xfId="0" applyFont="1" applyBorder="1"/>
    <xf numFmtId="168" fontId="23" fillId="9" borderId="33" xfId="1" applyNumberFormat="1" applyFont="1" applyFill="1" applyBorder="1"/>
    <xf numFmtId="43" fontId="23" fillId="0" borderId="33" xfId="1" applyFont="1" applyFill="1" applyBorder="1"/>
    <xf numFmtId="43" fontId="28" fillId="12" borderId="33" xfId="1" applyFont="1" applyFill="1" applyBorder="1"/>
    <xf numFmtId="167" fontId="0" fillId="0" borderId="0" xfId="0" applyNumberFormat="1"/>
    <xf numFmtId="0" fontId="23" fillId="0" borderId="3" xfId="0" applyFont="1" applyBorder="1"/>
    <xf numFmtId="43" fontId="23" fillId="12" borderId="33" xfId="1" applyFont="1" applyFill="1" applyBorder="1"/>
    <xf numFmtId="3" fontId="24" fillId="0" borderId="3" xfId="0" applyNumberFormat="1" applyFont="1" applyBorder="1"/>
    <xf numFmtId="0" fontId="24" fillId="0" borderId="3" xfId="0" applyFont="1" applyBorder="1"/>
    <xf numFmtId="0" fontId="2" fillId="0" borderId="0" xfId="0" applyFont="1"/>
    <xf numFmtId="167" fontId="2" fillId="0" borderId="0" xfId="0" applyNumberFormat="1" applyFont="1"/>
    <xf numFmtId="0" fontId="29" fillId="0" borderId="3" xfId="0" applyFont="1" applyBorder="1" applyAlignment="1">
      <alignment wrapText="1"/>
    </xf>
    <xf numFmtId="0" fontId="29" fillId="0" borderId="3" xfId="0" applyFont="1" applyBorder="1"/>
    <xf numFmtId="0" fontId="26" fillId="0" borderId="3" xfId="0" applyFont="1" applyBorder="1" applyAlignment="1">
      <alignment wrapText="1"/>
    </xf>
    <xf numFmtId="43" fontId="20" fillId="0" borderId="3" xfId="1" applyFont="1" applyBorder="1"/>
    <xf numFmtId="0" fontId="23" fillId="0" borderId="18" xfId="0" applyFont="1" applyBorder="1"/>
    <xf numFmtId="3" fontId="24" fillId="7" borderId="3" xfId="0" applyNumberFormat="1" applyFont="1" applyFill="1" applyBorder="1"/>
    <xf numFmtId="0" fontId="24" fillId="7" borderId="3" xfId="0" applyFont="1" applyFill="1" applyBorder="1"/>
    <xf numFmtId="0" fontId="20" fillId="9" borderId="3" xfId="0" applyFont="1" applyFill="1" applyBorder="1"/>
    <xf numFmtId="168" fontId="20" fillId="9" borderId="31" xfId="1" applyNumberFormat="1" applyFont="1" applyFill="1" applyBorder="1"/>
    <xf numFmtId="3" fontId="20" fillId="9" borderId="3" xfId="0" applyNumberFormat="1" applyFont="1" applyFill="1" applyBorder="1"/>
    <xf numFmtId="43" fontId="20" fillId="9" borderId="33" xfId="1" applyFont="1" applyFill="1" applyBorder="1"/>
    <xf numFmtId="3" fontId="26" fillId="14" borderId="3" xfId="0" applyNumberFormat="1" applyFont="1" applyFill="1" applyBorder="1"/>
    <xf numFmtId="0" fontId="26" fillId="14" borderId="3" xfId="0" applyFont="1" applyFill="1" applyBorder="1" applyAlignment="1">
      <alignment wrapText="1"/>
    </xf>
    <xf numFmtId="3" fontId="23" fillId="0" borderId="31" xfId="0" applyNumberFormat="1" applyFont="1" applyBorder="1"/>
    <xf numFmtId="3" fontId="23" fillId="9" borderId="33" xfId="0" applyNumberFormat="1" applyFont="1" applyFill="1" applyBorder="1"/>
    <xf numFmtId="3" fontId="23" fillId="0" borderId="33" xfId="0" applyNumberFormat="1" applyFont="1" applyBorder="1"/>
    <xf numFmtId="3" fontId="23" fillId="12" borderId="33" xfId="0" applyNumberFormat="1" applyFont="1" applyFill="1" applyBorder="1"/>
    <xf numFmtId="0" fontId="24" fillId="0" borderId="3" xfId="0" applyFont="1" applyBorder="1" applyAlignment="1">
      <alignment wrapText="1"/>
    </xf>
    <xf numFmtId="43" fontId="23" fillId="0" borderId="34" xfId="1" applyFont="1" applyFill="1" applyBorder="1"/>
    <xf numFmtId="0" fontId="23" fillId="0" borderId="30" xfId="0" applyFont="1" applyBorder="1"/>
    <xf numFmtId="3" fontId="24" fillId="14" borderId="3" xfId="0" applyNumberFormat="1" applyFont="1" applyFill="1" applyBorder="1"/>
    <xf numFmtId="0" fontId="24" fillId="14" borderId="3" xfId="0" applyFont="1" applyFill="1" applyBorder="1"/>
    <xf numFmtId="0" fontId="20" fillId="0" borderId="3" xfId="0" applyFont="1" applyBorder="1" applyAlignment="1">
      <alignment wrapText="1"/>
    </xf>
    <xf numFmtId="168" fontId="23" fillId="0" borderId="3" xfId="1" applyNumberFormat="1" applyFont="1" applyFill="1" applyBorder="1"/>
    <xf numFmtId="168" fontId="20" fillId="0" borderId="31" xfId="1" applyNumberFormat="1" applyFont="1" applyFill="1" applyBorder="1"/>
    <xf numFmtId="168" fontId="23" fillId="0" borderId="33" xfId="1" applyNumberFormat="1" applyFont="1" applyFill="1" applyBorder="1"/>
    <xf numFmtId="168" fontId="23" fillId="12" borderId="33" xfId="1" applyNumberFormat="1" applyFont="1" applyFill="1" applyBorder="1"/>
    <xf numFmtId="168" fontId="20" fillId="0" borderId="33" xfId="1" applyNumberFormat="1" applyFont="1" applyFill="1" applyBorder="1"/>
    <xf numFmtId="3" fontId="26" fillId="15" borderId="3" xfId="0" applyNumberFormat="1" applyFont="1" applyFill="1" applyBorder="1"/>
    <xf numFmtId="0" fontId="26" fillId="15" borderId="3" xfId="0" applyFont="1" applyFill="1" applyBorder="1"/>
    <xf numFmtId="43" fontId="23" fillId="0" borderId="3" xfId="1" applyFont="1" applyFill="1" applyBorder="1"/>
    <xf numFmtId="168" fontId="23" fillId="0" borderId="3" xfId="1" applyNumberFormat="1" applyFont="1" applyFill="1" applyBorder="1" applyAlignment="1">
      <alignment horizontal="right"/>
    </xf>
    <xf numFmtId="168" fontId="28" fillId="12" borderId="33" xfId="1" applyNumberFormat="1" applyFont="1" applyFill="1" applyBorder="1"/>
    <xf numFmtId="3" fontId="24" fillId="0" borderId="3" xfId="0" applyNumberFormat="1" applyFont="1" applyBorder="1" applyAlignment="1">
      <alignment wrapText="1"/>
    </xf>
    <xf numFmtId="43" fontId="0" fillId="0" borderId="0" xfId="1" applyFont="1"/>
    <xf numFmtId="43" fontId="20" fillId="0" borderId="3" xfId="1" applyFont="1" applyFill="1" applyBorder="1"/>
    <xf numFmtId="0" fontId="30" fillId="13" borderId="30" xfId="0" applyFont="1" applyFill="1" applyBorder="1" applyAlignment="1">
      <alignment vertical="center"/>
    </xf>
    <xf numFmtId="0" fontId="33" fillId="13" borderId="0" xfId="0" applyFont="1" applyFill="1"/>
    <xf numFmtId="0" fontId="30" fillId="0" borderId="30" xfId="0" applyFont="1" applyBorder="1" applyAlignment="1">
      <alignment vertical="center"/>
    </xf>
    <xf numFmtId="0" fontId="30" fillId="0" borderId="3" xfId="0" applyFont="1" applyBorder="1"/>
    <xf numFmtId="0" fontId="30" fillId="0" borderId="3" xfId="0" applyFont="1" applyBorder="1" applyAlignment="1">
      <alignment vertical="center"/>
    </xf>
    <xf numFmtId="43" fontId="30" fillId="0" borderId="3" xfId="1" applyFont="1" applyFill="1" applyBorder="1" applyAlignment="1">
      <alignment vertical="center"/>
    </xf>
    <xf numFmtId="168" fontId="31" fillId="0" borderId="3" xfId="1" applyNumberFormat="1" applyFont="1" applyFill="1" applyBorder="1" applyAlignment="1">
      <alignment horizontal="right" vertical="center"/>
    </xf>
    <xf numFmtId="3" fontId="30" fillId="0" borderId="19" xfId="0" applyNumberFormat="1" applyFont="1" applyBorder="1" applyAlignment="1">
      <alignment vertical="center"/>
    </xf>
    <xf numFmtId="43" fontId="30" fillId="0" borderId="34" xfId="1" applyFont="1" applyFill="1" applyBorder="1" applyAlignment="1">
      <alignment vertical="center"/>
    </xf>
    <xf numFmtId="43" fontId="30" fillId="0" borderId="33" xfId="1" applyFont="1" applyFill="1" applyBorder="1" applyAlignment="1">
      <alignment vertical="center"/>
    </xf>
    <xf numFmtId="43" fontId="31" fillId="9" borderId="33" xfId="1" applyFont="1" applyFill="1" applyBorder="1" applyAlignment="1">
      <alignment vertical="center"/>
    </xf>
    <xf numFmtId="43" fontId="30" fillId="12" borderId="33" xfId="1" applyFont="1" applyFill="1" applyBorder="1" applyAlignment="1">
      <alignment vertical="center"/>
    </xf>
    <xf numFmtId="3" fontId="32" fillId="15" borderId="3" xfId="0" applyNumberFormat="1" applyFont="1" applyFill="1" applyBorder="1" applyAlignment="1">
      <alignment vertical="center"/>
    </xf>
    <xf numFmtId="0" fontId="32" fillId="15" borderId="3" xfId="0" applyFont="1" applyFill="1" applyBorder="1" applyAlignment="1">
      <alignment vertical="center" wrapText="1"/>
    </xf>
    <xf numFmtId="0" fontId="33" fillId="0" borderId="0" xfId="0" applyFont="1"/>
    <xf numFmtId="167" fontId="33" fillId="0" borderId="0" xfId="0" applyNumberFormat="1" applyFont="1"/>
    <xf numFmtId="0" fontId="26" fillId="14" borderId="3" xfId="0" applyFont="1" applyFill="1" applyBorder="1"/>
    <xf numFmtId="3" fontId="20" fillId="0" borderId="35" xfId="0" applyNumberFormat="1" applyFont="1" applyBorder="1"/>
    <xf numFmtId="43" fontId="20" fillId="0" borderId="31" xfId="1" applyFont="1" applyFill="1" applyBorder="1"/>
    <xf numFmtId="0" fontId="20" fillId="0" borderId="36" xfId="0" applyFont="1" applyBorder="1"/>
    <xf numFmtId="0" fontId="20" fillId="0" borderId="37" xfId="0" applyFont="1" applyBorder="1"/>
    <xf numFmtId="43" fontId="20" fillId="0" borderId="37" xfId="1" applyFont="1" applyFill="1" applyBorder="1"/>
    <xf numFmtId="43" fontId="23" fillId="0" borderId="37" xfId="1" applyFont="1" applyFill="1" applyBorder="1"/>
    <xf numFmtId="43" fontId="20" fillId="0" borderId="38" xfId="1" applyFont="1" applyFill="1" applyBorder="1"/>
    <xf numFmtId="43" fontId="23" fillId="0" borderId="38" xfId="1" applyFont="1" applyFill="1" applyBorder="1"/>
    <xf numFmtId="43" fontId="23" fillId="9" borderId="39" xfId="1" applyFont="1" applyFill="1" applyBorder="1"/>
    <xf numFmtId="43" fontId="23" fillId="0" borderId="39" xfId="1" applyFont="1" applyFill="1" applyBorder="1"/>
    <xf numFmtId="43" fontId="23" fillId="12" borderId="39" xfId="1" applyFont="1" applyFill="1" applyBorder="1"/>
    <xf numFmtId="3" fontId="24" fillId="15" borderId="37" xfId="0" applyNumberFormat="1" applyFont="1" applyFill="1" applyBorder="1"/>
    <xf numFmtId="0" fontId="24" fillId="15" borderId="37" xfId="0" applyFont="1" applyFill="1" applyBorder="1"/>
    <xf numFmtId="43" fontId="23" fillId="9" borderId="3" xfId="1" applyFont="1" applyFill="1" applyBorder="1"/>
    <xf numFmtId="43" fontId="23" fillId="9" borderId="31" xfId="1" applyFont="1" applyFill="1" applyBorder="1"/>
    <xf numFmtId="0" fontId="20" fillId="0" borderId="37" xfId="0" applyFont="1" applyBorder="1" applyAlignment="1">
      <alignment wrapText="1"/>
    </xf>
    <xf numFmtId="3" fontId="20" fillId="0" borderId="37" xfId="0" applyNumberFormat="1" applyFont="1" applyBorder="1"/>
    <xf numFmtId="3" fontId="26" fillId="0" borderId="37" xfId="0" applyNumberFormat="1" applyFont="1" applyBorder="1"/>
    <xf numFmtId="43" fontId="23" fillId="0" borderId="31" xfId="1" applyFont="1" applyFill="1" applyBorder="1"/>
    <xf numFmtId="0" fontId="34" fillId="0" borderId="3" xfId="0" applyFont="1" applyBorder="1"/>
    <xf numFmtId="0" fontId="23" fillId="0" borderId="3" xfId="0" applyFont="1" applyBorder="1" applyAlignment="1">
      <alignment wrapText="1"/>
    </xf>
    <xf numFmtId="0" fontId="34" fillId="9" borderId="3" xfId="0" applyFont="1" applyFill="1" applyBorder="1"/>
    <xf numFmtId="43" fontId="20" fillId="9" borderId="3" xfId="1" applyFont="1" applyFill="1" applyBorder="1"/>
    <xf numFmtId="3" fontId="26" fillId="9" borderId="3" xfId="0" applyNumberFormat="1" applyFont="1" applyFill="1" applyBorder="1"/>
    <xf numFmtId="0" fontId="26" fillId="9" borderId="3" xfId="0" applyFont="1" applyFill="1" applyBorder="1"/>
    <xf numFmtId="0" fontId="34" fillId="0" borderId="3" xfId="0" applyFont="1" applyBorder="1" applyAlignment="1">
      <alignment wrapText="1"/>
    </xf>
    <xf numFmtId="0" fontId="23" fillId="9" borderId="3" xfId="0" applyFont="1" applyFill="1" applyBorder="1"/>
    <xf numFmtId="0" fontId="34" fillId="9" borderId="3" xfId="0" applyFont="1" applyFill="1" applyBorder="1" applyAlignment="1">
      <alignment wrapText="1"/>
    </xf>
    <xf numFmtId="0" fontId="23" fillId="9" borderId="3" xfId="0" applyFont="1" applyFill="1" applyBorder="1" applyAlignment="1">
      <alignment wrapText="1"/>
    </xf>
    <xf numFmtId="0" fontId="34" fillId="0" borderId="3" xfId="0" applyFont="1" applyBorder="1" applyAlignment="1">
      <alignment horizontal="left" wrapText="1"/>
    </xf>
    <xf numFmtId="0" fontId="34" fillId="9" borderId="3" xfId="0" applyFont="1" applyFill="1" applyBorder="1" applyAlignment="1">
      <alignment horizontal="left" wrapText="1"/>
    </xf>
    <xf numFmtId="0" fontId="34" fillId="0" borderId="40" xfId="0" applyFont="1" applyBorder="1" applyAlignment="1">
      <alignment horizontal="left" wrapText="1"/>
    </xf>
    <xf numFmtId="43" fontId="20" fillId="12" borderId="3" xfId="1" applyFont="1" applyFill="1" applyBorder="1"/>
    <xf numFmtId="0" fontId="20" fillId="0" borderId="39" xfId="0" applyFont="1" applyBorder="1"/>
    <xf numFmtId="0" fontId="23" fillId="0" borderId="38" xfId="0" applyFont="1" applyBorder="1"/>
    <xf numFmtId="0" fontId="34" fillId="0" borderId="41" xfId="0" applyFont="1" applyBorder="1" applyAlignment="1">
      <alignment horizontal="left" wrapText="1"/>
    </xf>
    <xf numFmtId="43" fontId="23" fillId="9" borderId="37" xfId="1" applyFont="1" applyFill="1" applyBorder="1"/>
    <xf numFmtId="43" fontId="20" fillId="12" borderId="37" xfId="1" applyFont="1" applyFill="1" applyBorder="1"/>
    <xf numFmtId="0" fontId="24" fillId="0" borderId="27" xfId="0" applyFont="1" applyBorder="1" applyAlignment="1">
      <alignment horizontal="center" vertical="center"/>
    </xf>
    <xf numFmtId="168" fontId="23" fillId="7" borderId="14" xfId="1" applyNumberFormat="1" applyFont="1" applyFill="1" applyBorder="1" applyAlignment="1">
      <alignment vertical="center"/>
    </xf>
    <xf numFmtId="168" fontId="23" fillId="0" borderId="0" xfId="0" applyNumberFormat="1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168" fontId="24" fillId="0" borderId="0" xfId="0" applyNumberFormat="1" applyFont="1" applyAlignment="1">
      <alignment horizontal="center" vertical="center"/>
    </xf>
    <xf numFmtId="168" fontId="0" fillId="0" borderId="0" xfId="0" applyNumberFormat="1"/>
    <xf numFmtId="0" fontId="23" fillId="0" borderId="0" xfId="0" applyFont="1" applyAlignment="1">
      <alignment horizontal="center" vertical="center"/>
    </xf>
    <xf numFmtId="168" fontId="23" fillId="0" borderId="0" xfId="0" applyNumberFormat="1" applyFont="1"/>
    <xf numFmtId="168" fontId="0" fillId="0" borderId="0" xfId="1" applyNumberFormat="1" applyFont="1"/>
    <xf numFmtId="168" fontId="0" fillId="0" borderId="0" xfId="1" applyNumberFormat="1" applyFont="1" applyBorder="1"/>
    <xf numFmtId="0" fontId="24" fillId="17" borderId="14" xfId="0" applyFont="1" applyFill="1" applyBorder="1" applyAlignment="1">
      <alignment horizontal="center" vertical="center"/>
    </xf>
    <xf numFmtId="0" fontId="0" fillId="0" borderId="48" xfId="0" applyBorder="1"/>
    <xf numFmtId="0" fontId="2" fillId="0" borderId="0" xfId="0" applyFont="1" applyAlignment="1">
      <alignment horizontal="center" vertical="center" wrapText="1"/>
    </xf>
    <xf numFmtId="0" fontId="2" fillId="0" borderId="53" xfId="0" applyFont="1" applyBorder="1"/>
    <xf numFmtId="0" fontId="0" fillId="0" borderId="53" xfId="0" applyBorder="1" applyAlignment="1">
      <alignment wrapText="1"/>
    </xf>
    <xf numFmtId="43" fontId="0" fillId="0" borderId="53" xfId="1" applyFont="1" applyBorder="1"/>
    <xf numFmtId="43" fontId="0" fillId="0" borderId="0" xfId="1" applyFont="1" applyBorder="1"/>
    <xf numFmtId="0" fontId="2" fillId="0" borderId="54" xfId="0" applyFont="1" applyBorder="1"/>
    <xf numFmtId="0" fontId="0" fillId="0" borderId="54" xfId="0" applyBorder="1" applyAlignment="1">
      <alignment wrapText="1"/>
    </xf>
    <xf numFmtId="43" fontId="0" fillId="0" borderId="54" xfId="1" applyFont="1" applyBorder="1"/>
    <xf numFmtId="0" fontId="2" fillId="0" borderId="55" xfId="0" applyFont="1" applyBorder="1"/>
    <xf numFmtId="0" fontId="0" fillId="0" borderId="55" xfId="0" applyBorder="1" applyAlignment="1">
      <alignment wrapText="1"/>
    </xf>
    <xf numFmtId="43" fontId="0" fillId="0" borderId="55" xfId="1" applyFont="1" applyBorder="1"/>
    <xf numFmtId="0" fontId="0" fillId="0" borderId="14" xfId="0" applyBorder="1" applyAlignment="1">
      <alignment wrapText="1"/>
    </xf>
    <xf numFmtId="43" fontId="0" fillId="0" borderId="14" xfId="1" applyFont="1" applyBorder="1"/>
    <xf numFmtId="0" fontId="2" fillId="0" borderId="56" xfId="0" applyFont="1" applyBorder="1"/>
    <xf numFmtId="0" fontId="0" fillId="0" borderId="38" xfId="0" applyBorder="1" applyAlignment="1">
      <alignment wrapText="1"/>
    </xf>
    <xf numFmtId="43" fontId="0" fillId="0" borderId="38" xfId="1" applyFont="1" applyBorder="1"/>
    <xf numFmtId="168" fontId="24" fillId="0" borderId="14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43" fontId="2" fillId="0" borderId="28" xfId="1" applyFont="1" applyBorder="1" applyAlignment="1">
      <alignment horizontal="left" vertical="center"/>
    </xf>
    <xf numFmtId="168" fontId="2" fillId="0" borderId="28" xfId="0" applyNumberFormat="1" applyFont="1" applyBorder="1" applyAlignment="1">
      <alignment horizontal="left" vertical="center"/>
    </xf>
    <xf numFmtId="43" fontId="0" fillId="0" borderId="0" xfId="1" applyFont="1" applyFill="1"/>
    <xf numFmtId="0" fontId="2" fillId="0" borderId="0" xfId="0" applyFont="1" applyAlignment="1">
      <alignment vertical="center" wrapText="1"/>
    </xf>
    <xf numFmtId="0" fontId="0" fillId="0" borderId="31" xfId="0" applyBorder="1" applyAlignment="1">
      <alignment horizontal="center" vertical="center"/>
    </xf>
    <xf numFmtId="43" fontId="0" fillId="0" borderId="0" xfId="1" applyFont="1" applyFill="1" applyBorder="1"/>
    <xf numFmtId="0" fontId="0" fillId="0" borderId="3" xfId="0" applyBorder="1" applyAlignment="1">
      <alignment horizontal="center" vertical="center"/>
    </xf>
    <xf numFmtId="43" fontId="1" fillId="0" borderId="0" xfId="1" applyFont="1" applyFill="1"/>
    <xf numFmtId="168" fontId="24" fillId="0" borderId="27" xfId="1" applyNumberFormat="1" applyFont="1" applyBorder="1" applyAlignment="1">
      <alignment horizontal="right"/>
    </xf>
    <xf numFmtId="3" fontId="24" fillId="0" borderId="14" xfId="0" applyNumberFormat="1" applyFont="1" applyBorder="1" applyAlignment="1">
      <alignment horizontal="center"/>
    </xf>
    <xf numFmtId="14" fontId="24" fillId="0" borderId="28" xfId="0" applyNumberFormat="1" applyFont="1" applyBorder="1" applyAlignment="1">
      <alignment horizontal="center"/>
    </xf>
    <xf numFmtId="0" fontId="23" fillId="0" borderId="28" xfId="0" applyFont="1" applyBorder="1" applyAlignment="1">
      <alignment horizontal="center" vertical="center" wrapText="1"/>
    </xf>
    <xf numFmtId="168" fontId="24" fillId="11" borderId="14" xfId="1" applyNumberFormat="1" applyFont="1" applyFill="1" applyBorder="1" applyAlignment="1">
      <alignment horizontal="center" vertical="center"/>
    </xf>
    <xf numFmtId="14" fontId="24" fillId="7" borderId="29" xfId="0" applyNumberFormat="1" applyFont="1" applyFill="1" applyBorder="1" applyAlignment="1">
      <alignment horizontal="center" vertical="center" wrapText="1"/>
    </xf>
    <xf numFmtId="0" fontId="24" fillId="9" borderId="29" xfId="0" applyFont="1" applyFill="1" applyBorder="1" applyAlignment="1">
      <alignment horizontal="center" vertical="center" wrapText="1"/>
    </xf>
    <xf numFmtId="43" fontId="24" fillId="0" borderId="29" xfId="1" applyFont="1" applyBorder="1" applyAlignment="1">
      <alignment horizontal="center" vertical="center" wrapText="1"/>
    </xf>
    <xf numFmtId="0" fontId="2" fillId="7" borderId="28" xfId="0" applyFont="1" applyFill="1" applyBorder="1" applyAlignment="1">
      <alignment horizontal="center" vertical="center" wrapText="1"/>
    </xf>
    <xf numFmtId="3" fontId="20" fillId="0" borderId="57" xfId="0" applyNumberFormat="1" applyFont="1" applyBorder="1"/>
    <xf numFmtId="168" fontId="20" fillId="0" borderId="3" xfId="1" applyNumberFormat="1" applyFont="1" applyBorder="1"/>
    <xf numFmtId="3" fontId="20" fillId="0" borderId="58" xfId="0" applyNumberFormat="1" applyFont="1" applyBorder="1"/>
    <xf numFmtId="168" fontId="20" fillId="0" borderId="3" xfId="1" applyNumberFormat="1" applyFont="1" applyFill="1" applyBorder="1"/>
    <xf numFmtId="168" fontId="29" fillId="0" borderId="3" xfId="1" applyNumberFormat="1" applyFont="1" applyBorder="1"/>
    <xf numFmtId="168" fontId="29" fillId="0" borderId="3" xfId="1" applyNumberFormat="1" applyFont="1" applyBorder="1" applyAlignment="1">
      <alignment wrapText="1"/>
    </xf>
    <xf numFmtId="168" fontId="23" fillId="0" borderId="3" xfId="1" applyNumberFormat="1" applyFont="1" applyBorder="1"/>
    <xf numFmtId="14" fontId="23" fillId="0" borderId="3" xfId="0" applyNumberFormat="1" applyFont="1" applyBorder="1"/>
    <xf numFmtId="14" fontId="20" fillId="0" borderId="58" xfId="0" applyNumberFormat="1" applyFont="1" applyBorder="1"/>
    <xf numFmtId="43" fontId="20" fillId="0" borderId="33" xfId="1" applyFont="1" applyFill="1" applyBorder="1" applyAlignment="1">
      <alignment horizontal="center"/>
    </xf>
    <xf numFmtId="0" fontId="30" fillId="13" borderId="3" xfId="0" applyFont="1" applyFill="1" applyBorder="1" applyAlignment="1">
      <alignment vertical="center" wrapText="1"/>
    </xf>
    <xf numFmtId="0" fontId="30" fillId="13" borderId="3" xfId="0" applyFont="1" applyFill="1" applyBorder="1" applyAlignment="1">
      <alignment vertical="center"/>
    </xf>
    <xf numFmtId="168" fontId="30" fillId="13" borderId="3" xfId="1" applyNumberFormat="1" applyFont="1" applyFill="1" applyBorder="1" applyAlignment="1">
      <alignment vertical="center"/>
    </xf>
    <xf numFmtId="43" fontId="30" fillId="13" borderId="3" xfId="1" applyFont="1" applyFill="1" applyBorder="1" applyAlignment="1">
      <alignment vertical="center"/>
    </xf>
    <xf numFmtId="168" fontId="30" fillId="0" borderId="3" xfId="1" applyNumberFormat="1" applyFont="1" applyFill="1" applyBorder="1" applyAlignment="1">
      <alignment horizontal="right" vertical="center"/>
    </xf>
    <xf numFmtId="3" fontId="30" fillId="13" borderId="19" xfId="0" applyNumberFormat="1" applyFont="1" applyFill="1" applyBorder="1" applyAlignment="1">
      <alignment vertical="center"/>
    </xf>
    <xf numFmtId="14" fontId="30" fillId="13" borderId="58" xfId="0" applyNumberFormat="1" applyFont="1" applyFill="1" applyBorder="1" applyAlignment="1">
      <alignment vertical="center"/>
    </xf>
    <xf numFmtId="43" fontId="30" fillId="13" borderId="34" xfId="1" applyFont="1" applyFill="1" applyBorder="1" applyAlignment="1">
      <alignment vertical="center"/>
    </xf>
    <xf numFmtId="43" fontId="30" fillId="13" borderId="33" xfId="1" applyFont="1" applyFill="1" applyBorder="1" applyAlignment="1">
      <alignment vertical="center"/>
    </xf>
    <xf numFmtId="43" fontId="31" fillId="0" borderId="33" xfId="1" applyFont="1" applyFill="1" applyBorder="1" applyAlignment="1">
      <alignment vertical="center"/>
    </xf>
    <xf numFmtId="3" fontId="32" fillId="13" borderId="3" xfId="0" applyNumberFormat="1" applyFont="1" applyFill="1" applyBorder="1" applyAlignment="1">
      <alignment vertical="center"/>
    </xf>
    <xf numFmtId="0" fontId="32" fillId="13" borderId="3" xfId="0" applyFont="1" applyFill="1" applyBorder="1" applyAlignment="1">
      <alignment vertical="center" wrapText="1"/>
    </xf>
    <xf numFmtId="168" fontId="30" fillId="0" borderId="3" xfId="1" applyNumberFormat="1" applyFont="1" applyBorder="1" applyAlignment="1">
      <alignment vertical="center"/>
    </xf>
    <xf numFmtId="3" fontId="30" fillId="0" borderId="58" xfId="0" applyNumberFormat="1" applyFont="1" applyBorder="1" applyAlignment="1">
      <alignment vertical="center"/>
    </xf>
    <xf numFmtId="14" fontId="20" fillId="0" borderId="3" xfId="0" applyNumberFormat="1" applyFont="1" applyBorder="1"/>
    <xf numFmtId="168" fontId="20" fillId="0" borderId="37" xfId="1" applyNumberFormat="1" applyFont="1" applyBorder="1"/>
    <xf numFmtId="14" fontId="20" fillId="0" borderId="37" xfId="0" applyNumberFormat="1" applyFont="1" applyBorder="1"/>
    <xf numFmtId="3" fontId="23" fillId="0" borderId="3" xfId="0" applyNumberFormat="1" applyFont="1" applyBorder="1"/>
    <xf numFmtId="14" fontId="20" fillId="0" borderId="37" xfId="0" applyNumberFormat="1" applyFont="1" applyBorder="1" applyAlignment="1">
      <alignment wrapText="1"/>
    </xf>
    <xf numFmtId="0" fontId="26" fillId="0" borderId="37" xfId="0" applyFont="1" applyBorder="1" applyAlignment="1">
      <alignment wrapText="1"/>
    </xf>
    <xf numFmtId="43" fontId="34" fillId="0" borderId="3" xfId="1" applyFont="1" applyFill="1" applyBorder="1"/>
    <xf numFmtId="168" fontId="35" fillId="0" borderId="3" xfId="1" applyNumberFormat="1" applyFont="1" applyBorder="1"/>
    <xf numFmtId="14" fontId="20" fillId="9" borderId="3" xfId="0" applyNumberFormat="1" applyFont="1" applyFill="1" applyBorder="1"/>
    <xf numFmtId="168" fontId="20" fillId="9" borderId="3" xfId="1" applyNumberFormat="1" applyFont="1" applyFill="1" applyBorder="1"/>
    <xf numFmtId="43" fontId="20" fillId="9" borderId="33" xfId="1" applyFont="1" applyFill="1" applyBorder="1" applyAlignment="1">
      <alignment horizontal="center"/>
    </xf>
    <xf numFmtId="14" fontId="34" fillId="0" borderId="3" xfId="0" applyNumberFormat="1" applyFont="1" applyBorder="1" applyAlignment="1">
      <alignment wrapText="1"/>
    </xf>
    <xf numFmtId="168" fontId="35" fillId="0" borderId="3" xfId="1" applyNumberFormat="1" applyFont="1" applyBorder="1" applyAlignment="1">
      <alignment wrapText="1"/>
    </xf>
    <xf numFmtId="14" fontId="34" fillId="9" borderId="3" xfId="0" applyNumberFormat="1" applyFont="1" applyFill="1" applyBorder="1" applyAlignment="1">
      <alignment wrapText="1"/>
    </xf>
    <xf numFmtId="168" fontId="34" fillId="9" borderId="3" xfId="1" applyNumberFormat="1" applyFont="1" applyFill="1" applyBorder="1" applyAlignment="1">
      <alignment wrapText="1"/>
    </xf>
    <xf numFmtId="14" fontId="34" fillId="0" borderId="3" xfId="0" applyNumberFormat="1" applyFont="1" applyBorder="1" applyAlignment="1">
      <alignment horizontal="left" wrapText="1"/>
    </xf>
    <xf numFmtId="168" fontId="34" fillId="0" borderId="3" xfId="1" applyNumberFormat="1" applyFont="1" applyBorder="1" applyAlignment="1">
      <alignment horizontal="left" wrapText="1"/>
    </xf>
    <xf numFmtId="14" fontId="34" fillId="9" borderId="3" xfId="0" applyNumberFormat="1" applyFont="1" applyFill="1" applyBorder="1" applyAlignment="1">
      <alignment horizontal="left" wrapText="1"/>
    </xf>
    <xf numFmtId="168" fontId="34" fillId="9" borderId="3" xfId="1" applyNumberFormat="1" applyFont="1" applyFill="1" applyBorder="1" applyAlignment="1">
      <alignment horizontal="left" wrapText="1"/>
    </xf>
    <xf numFmtId="14" fontId="34" fillId="0" borderId="40" xfId="0" applyNumberFormat="1" applyFont="1" applyBorder="1" applyAlignment="1">
      <alignment horizontal="left" wrapText="1"/>
    </xf>
    <xf numFmtId="168" fontId="34" fillId="0" borderId="40" xfId="1" applyNumberFormat="1" applyFont="1" applyBorder="1" applyAlignment="1">
      <alignment horizontal="left" wrapText="1"/>
    </xf>
    <xf numFmtId="43" fontId="20" fillId="0" borderId="3" xfId="1" applyFont="1" applyFill="1" applyBorder="1" applyAlignment="1">
      <alignment horizontal="center"/>
    </xf>
    <xf numFmtId="14" fontId="34" fillId="0" borderId="41" xfId="0" applyNumberFormat="1" applyFont="1" applyBorder="1" applyAlignment="1">
      <alignment horizontal="left" wrapText="1"/>
    </xf>
    <xf numFmtId="168" fontId="34" fillId="0" borderId="41" xfId="1" applyNumberFormat="1" applyFont="1" applyBorder="1" applyAlignment="1">
      <alignment horizontal="left" wrapText="1"/>
    </xf>
    <xf numFmtId="43" fontId="20" fillId="12" borderId="39" xfId="1" applyFont="1" applyFill="1" applyBorder="1"/>
    <xf numFmtId="43" fontId="20" fillId="0" borderId="0" xfId="1" applyFont="1" applyFill="1" applyBorder="1" applyAlignment="1">
      <alignment horizontal="center"/>
    </xf>
    <xf numFmtId="3" fontId="26" fillId="0" borderId="0" xfId="0" applyNumberFormat="1" applyFont="1"/>
    <xf numFmtId="0" fontId="26" fillId="0" borderId="0" xfId="0" applyFont="1"/>
    <xf numFmtId="14" fontId="34" fillId="0" borderId="0" xfId="0" applyNumberFormat="1" applyFont="1" applyAlignment="1">
      <alignment horizontal="left" wrapText="1"/>
    </xf>
    <xf numFmtId="168" fontId="34" fillId="0" borderId="0" xfId="1" applyNumberFormat="1" applyFont="1" applyBorder="1" applyAlignment="1">
      <alignment horizontal="left" wrapText="1"/>
    </xf>
    <xf numFmtId="168" fontId="20" fillId="0" borderId="0" xfId="1" applyNumberFormat="1" applyFont="1" applyBorder="1"/>
    <xf numFmtId="43" fontId="20" fillId="0" borderId="0" xfId="1" applyFont="1" applyFill="1" applyBorder="1"/>
    <xf numFmtId="43" fontId="23" fillId="0" borderId="0" xfId="1" applyFont="1" applyFill="1" applyBorder="1"/>
    <xf numFmtId="3" fontId="20" fillId="0" borderId="0" xfId="0" applyNumberFormat="1" applyFont="1"/>
    <xf numFmtId="14" fontId="20" fillId="0" borderId="0" xfId="0" applyNumberFormat="1" applyFont="1"/>
    <xf numFmtId="43" fontId="23" fillId="9" borderId="0" xfId="1" applyFont="1" applyFill="1" applyBorder="1"/>
    <xf numFmtId="43" fontId="20" fillId="12" borderId="0" xfId="1" applyFont="1" applyFill="1" applyBorder="1"/>
    <xf numFmtId="0" fontId="20" fillId="0" borderId="41" xfId="0" applyFont="1" applyBorder="1" applyAlignment="1">
      <alignment wrapText="1"/>
    </xf>
    <xf numFmtId="0" fontId="34" fillId="0" borderId="0" xfId="0" applyFont="1" applyAlignment="1">
      <alignment horizontal="left" wrapText="1"/>
    </xf>
    <xf numFmtId="168" fontId="24" fillId="12" borderId="27" xfId="1" applyNumberFormat="1" applyFont="1" applyFill="1" applyBorder="1" applyAlignment="1">
      <alignment horizontal="center" vertical="center"/>
    </xf>
    <xf numFmtId="43" fontId="24" fillId="12" borderId="27" xfId="1" applyFont="1" applyFill="1" applyBorder="1" applyAlignment="1">
      <alignment horizontal="center" vertical="center"/>
    </xf>
    <xf numFmtId="168" fontId="23" fillId="9" borderId="14" xfId="1" applyNumberFormat="1" applyFont="1" applyFill="1" applyBorder="1" applyAlignment="1">
      <alignment vertical="center"/>
    </xf>
    <xf numFmtId="0" fontId="23" fillId="0" borderId="0" xfId="0" applyFont="1" applyAlignment="1">
      <alignment horizontal="right" vertical="center" indent="1"/>
    </xf>
    <xf numFmtId="0" fontId="23" fillId="0" borderId="46" xfId="0" applyFont="1" applyBorder="1" applyAlignment="1">
      <alignment horizontal="right" vertical="center" indent="1"/>
    </xf>
    <xf numFmtId="0" fontId="23" fillId="0" borderId="50" xfId="0" applyFont="1" applyBorder="1" applyAlignment="1">
      <alignment horizontal="right" vertical="center" indent="1"/>
    </xf>
    <xf numFmtId="0" fontId="23" fillId="0" borderId="26" xfId="0" applyFont="1" applyBorder="1" applyAlignment="1">
      <alignment horizontal="right" vertical="center"/>
    </xf>
    <xf numFmtId="43" fontId="2" fillId="0" borderId="0" xfId="1" applyFont="1" applyBorder="1" applyAlignment="1">
      <alignment vertical="center"/>
    </xf>
    <xf numFmtId="14" fontId="0" fillId="0" borderId="0" xfId="0" applyNumberFormat="1"/>
    <xf numFmtId="0" fontId="24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0" fontId="24" fillId="18" borderId="14" xfId="0" applyFont="1" applyFill="1" applyBorder="1" applyAlignment="1">
      <alignment horizontal="center" vertical="center"/>
    </xf>
    <xf numFmtId="14" fontId="24" fillId="17" borderId="14" xfId="0" applyNumberFormat="1" applyFont="1" applyFill="1" applyBorder="1" applyAlignment="1">
      <alignment horizontal="center" vertical="center"/>
    </xf>
    <xf numFmtId="0" fontId="24" fillId="17" borderId="49" xfId="0" applyFont="1" applyFill="1" applyBorder="1" applyAlignment="1">
      <alignment horizontal="center" vertical="center"/>
    </xf>
    <xf numFmtId="0" fontId="0" fillId="0" borderId="52" xfId="0" applyBorder="1"/>
    <xf numFmtId="14" fontId="0" fillId="0" borderId="53" xfId="0" applyNumberFormat="1" applyBorder="1" applyAlignment="1">
      <alignment wrapText="1"/>
    </xf>
    <xf numFmtId="0" fontId="0" fillId="0" borderId="60" xfId="0" applyBorder="1" applyAlignment="1">
      <alignment wrapText="1"/>
    </xf>
    <xf numFmtId="0" fontId="0" fillId="0" borderId="61" xfId="0" applyBorder="1"/>
    <xf numFmtId="0" fontId="2" fillId="0" borderId="0" xfId="0" applyFont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14" fontId="0" fillId="0" borderId="54" xfId="0" applyNumberFormat="1" applyBorder="1" applyAlignment="1">
      <alignment wrapText="1"/>
    </xf>
    <xf numFmtId="0" fontId="0" fillId="0" borderId="62" xfId="0" applyBorder="1" applyAlignment="1">
      <alignment wrapText="1"/>
    </xf>
    <xf numFmtId="0" fontId="0" fillId="0" borderId="0" xfId="0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horizontal="center"/>
    </xf>
    <xf numFmtId="14" fontId="0" fillId="0" borderId="55" xfId="0" applyNumberFormat="1" applyBorder="1" applyAlignment="1">
      <alignment wrapText="1"/>
    </xf>
    <xf numFmtId="0" fontId="0" fillId="0" borderId="63" xfId="0" applyBorder="1" applyAlignment="1">
      <alignment wrapText="1"/>
    </xf>
    <xf numFmtId="14" fontId="0" fillId="0" borderId="28" xfId="0" applyNumberFormat="1" applyBorder="1" applyAlignment="1">
      <alignment wrapText="1"/>
    </xf>
    <xf numFmtId="0" fontId="0" fillId="0" borderId="61" xfId="0" applyBorder="1" applyAlignment="1">
      <alignment horizontal="center"/>
    </xf>
    <xf numFmtId="14" fontId="0" fillId="0" borderId="14" xfId="0" applyNumberFormat="1" applyBorder="1" applyAlignment="1">
      <alignment wrapText="1"/>
    </xf>
    <xf numFmtId="0" fontId="0" fillId="0" borderId="49" xfId="0" applyBorder="1" applyAlignment="1">
      <alignment wrapText="1"/>
    </xf>
    <xf numFmtId="168" fontId="2" fillId="0" borderId="0" xfId="0" applyNumberFormat="1" applyFont="1" applyAlignment="1">
      <alignment horizontal="center" vertical="center"/>
    </xf>
    <xf numFmtId="0" fontId="0" fillId="0" borderId="25" xfId="0" applyBorder="1" applyAlignment="1">
      <alignment wrapText="1"/>
    </xf>
    <xf numFmtId="168" fontId="0" fillId="0" borderId="0" xfId="0" applyNumberFormat="1" applyAlignment="1">
      <alignment horizontal="center" vertical="center"/>
    </xf>
    <xf numFmtId="0" fontId="2" fillId="0" borderId="14" xfId="0" applyFont="1" applyBorder="1"/>
    <xf numFmtId="14" fontId="0" fillId="0" borderId="25" xfId="0" applyNumberFormat="1" applyBorder="1" applyAlignment="1">
      <alignment wrapText="1"/>
    </xf>
    <xf numFmtId="43" fontId="0" fillId="0" borderId="25" xfId="1" applyFont="1" applyBorder="1"/>
    <xf numFmtId="0" fontId="0" fillId="0" borderId="14" xfId="0" applyBorder="1"/>
    <xf numFmtId="0" fontId="0" fillId="0" borderId="28" xfId="0" applyBorder="1"/>
    <xf numFmtId="14" fontId="24" fillId="0" borderId="27" xfId="0" applyNumberFormat="1" applyFont="1" applyBorder="1" applyAlignment="1">
      <alignment horizontal="right" vertical="center"/>
    </xf>
    <xf numFmtId="168" fontId="24" fillId="12" borderId="14" xfId="0" applyNumberFormat="1" applyFont="1" applyFill="1" applyBorder="1" applyAlignment="1">
      <alignment horizontal="left" vertical="center"/>
    </xf>
    <xf numFmtId="0" fontId="0" fillId="0" borderId="25" xfId="0" applyBorder="1" applyAlignment="1">
      <alignment horizontal="left" wrapText="1"/>
    </xf>
    <xf numFmtId="0" fontId="0" fillId="0" borderId="61" xfId="0" applyBorder="1" applyAlignment="1">
      <alignment horizontal="left"/>
    </xf>
    <xf numFmtId="0" fontId="24" fillId="0" borderId="25" xfId="0" applyFont="1" applyBorder="1" applyAlignment="1">
      <alignment horizontal="right" vertical="center" wrapText="1"/>
    </xf>
    <xf numFmtId="0" fontId="24" fillId="0" borderId="27" xfId="0" applyFont="1" applyBorder="1" applyAlignment="1">
      <alignment horizontal="right" vertical="center" wrapText="1"/>
    </xf>
    <xf numFmtId="14" fontId="24" fillId="0" borderId="27" xfId="0" applyNumberFormat="1" applyFont="1" applyBorder="1" applyAlignment="1">
      <alignment horizontal="right" vertical="center" wrapText="1"/>
    </xf>
    <xf numFmtId="0" fontId="24" fillId="0" borderId="25" xfId="0" applyFont="1" applyBorder="1" applyAlignment="1">
      <alignment horizontal="right" vertical="center"/>
    </xf>
    <xf numFmtId="0" fontId="24" fillId="0" borderId="27" xfId="0" applyFont="1" applyBorder="1" applyAlignment="1">
      <alignment horizontal="right" vertical="center"/>
    </xf>
    <xf numFmtId="168" fontId="24" fillId="9" borderId="14" xfId="0" applyNumberFormat="1" applyFont="1" applyFill="1" applyBorder="1" applyAlignment="1">
      <alignment horizontal="left" vertic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4" fontId="2" fillId="0" borderId="26" xfId="0" applyNumberFormat="1" applyFont="1" applyBorder="1" applyAlignment="1">
      <alignment horizontal="center"/>
    </xf>
    <xf numFmtId="43" fontId="0" fillId="0" borderId="48" xfId="1" applyFont="1" applyFill="1" applyBorder="1"/>
    <xf numFmtId="14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68" fontId="24" fillId="0" borderId="0" xfId="1" applyNumberFormat="1" applyFont="1" applyFill="1" applyBorder="1" applyAlignment="1">
      <alignment horizontal="center" vertical="center"/>
    </xf>
    <xf numFmtId="168" fontId="26" fillId="0" borderId="0" xfId="1" applyNumberFormat="1" applyFont="1" applyFill="1" applyBorder="1"/>
    <xf numFmtId="14" fontId="2" fillId="0" borderId="28" xfId="1" applyNumberFormat="1" applyFont="1" applyBorder="1" applyAlignment="1">
      <alignment horizontal="left" vertical="center"/>
    </xf>
    <xf numFmtId="168" fontId="2" fillId="12" borderId="14" xfId="0" applyNumberFormat="1" applyFont="1" applyFill="1" applyBorder="1" applyAlignment="1">
      <alignment horizontal="left" vertical="center"/>
    </xf>
    <xf numFmtId="168" fontId="0" fillId="0" borderId="29" xfId="0" applyNumberFormat="1" applyBorder="1"/>
    <xf numFmtId="168" fontId="24" fillId="0" borderId="0" xfId="1" applyNumberFormat="1" applyFont="1" applyFill="1" applyBorder="1"/>
    <xf numFmtId="43" fontId="2" fillId="0" borderId="14" xfId="1" applyFon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43" fontId="0" fillId="0" borderId="31" xfId="1" applyFont="1" applyBorder="1" applyAlignment="1">
      <alignment horizontal="center" vertical="center"/>
    </xf>
    <xf numFmtId="43" fontId="2" fillId="0" borderId="31" xfId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43" fontId="0" fillId="0" borderId="3" xfId="1" applyFont="1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168" fontId="2" fillId="0" borderId="37" xfId="0" applyNumberFormat="1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vertical="center"/>
    </xf>
    <xf numFmtId="43" fontId="0" fillId="0" borderId="3" xfId="1" applyFont="1" applyBorder="1" applyAlignment="1">
      <alignment vertical="center"/>
    </xf>
    <xf numFmtId="0" fontId="0" fillId="0" borderId="3" xfId="0" applyBorder="1"/>
    <xf numFmtId="43" fontId="0" fillId="0" borderId="37" xfId="1" applyFont="1" applyBorder="1" applyAlignment="1">
      <alignment vertical="center"/>
    </xf>
    <xf numFmtId="14" fontId="0" fillId="0" borderId="37" xfId="1" applyNumberFormat="1" applyFont="1" applyBorder="1" applyAlignment="1">
      <alignment vertical="center"/>
    </xf>
    <xf numFmtId="14" fontId="2" fillId="0" borderId="27" xfId="0" applyNumberFormat="1" applyFont="1" applyBorder="1" applyAlignment="1">
      <alignment horizontal="center" vertical="center"/>
    </xf>
    <xf numFmtId="168" fontId="24" fillId="0" borderId="14" xfId="1" applyNumberFormat="1" applyFont="1" applyBorder="1" applyAlignment="1">
      <alignment horizontal="center" vertical="center"/>
    </xf>
    <xf numFmtId="168" fontId="26" fillId="0" borderId="28" xfId="1" applyNumberFormat="1" applyFont="1" applyBorder="1"/>
    <xf numFmtId="168" fontId="24" fillId="0" borderId="14" xfId="1" applyNumberFormat="1" applyFont="1" applyBorder="1"/>
    <xf numFmtId="168" fontId="26" fillId="0" borderId="14" xfId="1" applyNumberFormat="1" applyFont="1" applyBorder="1"/>
    <xf numFmtId="14" fontId="2" fillId="0" borderId="27" xfId="0" applyNumberFormat="1" applyFont="1" applyBorder="1" applyAlignment="1">
      <alignment horizontal="center" vertical="center" wrapText="1"/>
    </xf>
    <xf numFmtId="168" fontId="24" fillId="12" borderId="1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7" borderId="25" xfId="0" applyFont="1" applyFill="1" applyBorder="1" applyAlignment="1">
      <alignment horizontal="center" vertical="center" wrapText="1"/>
    </xf>
    <xf numFmtId="0" fontId="23" fillId="7" borderId="26" xfId="0" applyFont="1" applyFill="1" applyBorder="1" applyAlignment="1">
      <alignment horizontal="center" vertical="center" wrapText="1"/>
    </xf>
    <xf numFmtId="14" fontId="23" fillId="7" borderId="26" xfId="0" applyNumberFormat="1" applyFont="1" applyFill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14" fontId="23" fillId="0" borderId="26" xfId="0" applyNumberFormat="1" applyFont="1" applyBorder="1" applyAlignment="1">
      <alignment horizontal="center" vertical="center" wrapText="1"/>
    </xf>
    <xf numFmtId="0" fontId="24" fillId="0" borderId="25" xfId="0" applyFont="1" applyBorder="1" applyAlignment="1">
      <alignment horizontal="right"/>
    </xf>
    <xf numFmtId="0" fontId="24" fillId="0" borderId="26" xfId="0" applyFont="1" applyBorder="1" applyAlignment="1">
      <alignment horizontal="right"/>
    </xf>
    <xf numFmtId="0" fontId="24" fillId="0" borderId="27" xfId="0" applyFont="1" applyBorder="1" applyAlignment="1">
      <alignment horizontal="right"/>
    </xf>
    <xf numFmtId="3" fontId="23" fillId="7" borderId="25" xfId="0" applyNumberFormat="1" applyFont="1" applyFill="1" applyBorder="1" applyAlignment="1">
      <alignment horizontal="center"/>
    </xf>
    <xf numFmtId="3" fontId="23" fillId="7" borderId="26" xfId="0" applyNumberFormat="1" applyFont="1" applyFill="1" applyBorder="1" applyAlignment="1">
      <alignment horizont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43" fontId="24" fillId="7" borderId="25" xfId="1" applyFont="1" applyFill="1" applyBorder="1" applyAlignment="1">
      <alignment horizontal="center" vertical="center"/>
    </xf>
    <xf numFmtId="43" fontId="24" fillId="7" borderId="26" xfId="1" applyFont="1" applyFill="1" applyBorder="1" applyAlignment="1">
      <alignment horizontal="center" vertical="center"/>
    </xf>
    <xf numFmtId="43" fontId="24" fillId="7" borderId="27" xfId="1" applyFont="1" applyFill="1" applyBorder="1" applyAlignment="1">
      <alignment horizontal="center" vertical="center"/>
    </xf>
    <xf numFmtId="0" fontId="23" fillId="0" borderId="47" xfId="0" applyFont="1" applyBorder="1" applyAlignment="1">
      <alignment horizontal="right" vertical="center" indent="1"/>
    </xf>
    <xf numFmtId="0" fontId="23" fillId="0" borderId="0" xfId="0" applyFont="1" applyAlignment="1">
      <alignment horizontal="right" vertical="center" indent="1"/>
    </xf>
    <xf numFmtId="0" fontId="23" fillId="0" borderId="48" xfId="0" applyFont="1" applyBorder="1" applyAlignment="1">
      <alignment horizontal="right" vertical="center" indent="1"/>
    </xf>
    <xf numFmtId="0" fontId="23" fillId="0" borderId="45" xfId="0" applyFont="1" applyBorder="1" applyAlignment="1">
      <alignment horizontal="right" vertical="center" indent="1"/>
    </xf>
    <xf numFmtId="0" fontId="23" fillId="0" borderId="46" xfId="0" applyFont="1" applyBorder="1" applyAlignment="1">
      <alignment horizontal="right" vertical="center" indent="1"/>
    </xf>
    <xf numFmtId="0" fontId="23" fillId="0" borderId="29" xfId="0" applyFont="1" applyBorder="1" applyAlignment="1">
      <alignment horizontal="right" vertical="center" indent="1"/>
    </xf>
    <xf numFmtId="168" fontId="23" fillId="0" borderId="47" xfId="0" applyNumberFormat="1" applyFont="1" applyBorder="1" applyAlignment="1">
      <alignment horizontal="center" vertical="center"/>
    </xf>
    <xf numFmtId="168" fontId="23" fillId="0" borderId="0" xfId="0" applyNumberFormat="1" applyFont="1" applyAlignment="1">
      <alignment horizontal="center" vertical="center"/>
    </xf>
    <xf numFmtId="168" fontId="23" fillId="0" borderId="48" xfId="0" applyNumberFormat="1" applyFont="1" applyBorder="1" applyAlignment="1">
      <alignment horizontal="center" vertical="center"/>
    </xf>
    <xf numFmtId="168" fontId="23" fillId="0" borderId="45" xfId="0" applyNumberFormat="1" applyFont="1" applyBorder="1" applyAlignment="1">
      <alignment horizontal="center" vertical="center"/>
    </xf>
    <xf numFmtId="168" fontId="23" fillId="0" borderId="46" xfId="0" applyNumberFormat="1" applyFont="1" applyBorder="1" applyAlignment="1">
      <alignment horizontal="center" vertical="center"/>
    </xf>
    <xf numFmtId="168" fontId="23" fillId="0" borderId="29" xfId="0" applyNumberFormat="1" applyFont="1" applyBorder="1" applyAlignment="1">
      <alignment horizontal="center" vertical="center"/>
    </xf>
    <xf numFmtId="0" fontId="23" fillId="0" borderId="49" xfId="0" applyFont="1" applyBorder="1" applyAlignment="1">
      <alignment horizontal="right" vertical="center" indent="1"/>
    </xf>
    <xf numFmtId="0" fontId="23" fillId="0" borderId="50" xfId="0" applyFont="1" applyBorder="1" applyAlignment="1">
      <alignment horizontal="right" vertical="center" indent="1"/>
    </xf>
    <xf numFmtId="0" fontId="23" fillId="0" borderId="51" xfId="0" applyFont="1" applyBorder="1" applyAlignment="1">
      <alignment horizontal="right" vertical="center" indent="1"/>
    </xf>
    <xf numFmtId="168" fontId="23" fillId="0" borderId="49" xfId="0" applyNumberFormat="1" applyFont="1" applyBorder="1" applyAlignment="1">
      <alignment horizontal="center" vertical="center"/>
    </xf>
    <xf numFmtId="168" fontId="23" fillId="0" borderId="50" xfId="0" applyNumberFormat="1" applyFont="1" applyBorder="1" applyAlignment="1">
      <alignment horizontal="center" vertical="center"/>
    </xf>
    <xf numFmtId="168" fontId="23" fillId="0" borderId="51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right" vertical="center" wrapText="1"/>
    </xf>
    <xf numFmtId="0" fontId="23" fillId="0" borderId="26" xfId="0" applyFont="1" applyBorder="1" applyAlignment="1">
      <alignment horizontal="right" vertical="center"/>
    </xf>
    <xf numFmtId="0" fontId="23" fillId="0" borderId="27" xfId="0" applyFont="1" applyBorder="1" applyAlignment="1">
      <alignment horizontal="right" vertical="center"/>
    </xf>
    <xf numFmtId="168" fontId="23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14" fontId="24" fillId="0" borderId="26" xfId="0" applyNumberFormat="1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4" fillId="0" borderId="25" xfId="0" applyFont="1" applyBorder="1" applyAlignment="1">
      <alignment horizontal="right" vertical="center"/>
    </xf>
    <xf numFmtId="0" fontId="24" fillId="0" borderId="27" xfId="0" applyFont="1" applyBorder="1" applyAlignment="1">
      <alignment horizontal="right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6" fillId="0" borderId="25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14" fontId="36" fillId="0" borderId="26" xfId="0" applyNumberFormat="1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23" fillId="8" borderId="25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14" fontId="23" fillId="8" borderId="26" xfId="0" applyNumberFormat="1" applyFont="1" applyFill="1" applyBorder="1" applyAlignment="1">
      <alignment horizontal="center" vertical="center" wrapText="1"/>
    </xf>
    <xf numFmtId="0" fontId="23" fillId="8" borderId="27" xfId="0" applyFont="1" applyFill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2" fillId="6" borderId="15" xfId="0" applyFont="1" applyFill="1" applyBorder="1" applyAlignment="1">
      <alignment horizontal="center" vertical="center"/>
    </xf>
    <xf numFmtId="0" fontId="22" fillId="6" borderId="16" xfId="0" applyFont="1" applyFill="1" applyBorder="1" applyAlignment="1">
      <alignment horizontal="center" vertical="center"/>
    </xf>
    <xf numFmtId="0" fontId="22" fillId="6" borderId="17" xfId="0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21" fillId="7" borderId="25" xfId="0" applyFont="1" applyFill="1" applyBorder="1" applyAlignment="1">
      <alignment horizontal="center" vertical="center" wrapText="1"/>
    </xf>
    <xf numFmtId="0" fontId="21" fillId="7" borderId="26" xfId="0" applyFont="1" applyFill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21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3" fontId="21" fillId="8" borderId="14" xfId="0" applyNumberFormat="1" applyFont="1" applyFill="1" applyBorder="1" applyAlignment="1">
      <alignment horizontal="center" vertical="center"/>
    </xf>
    <xf numFmtId="3" fontId="21" fillId="0" borderId="14" xfId="0" applyNumberFormat="1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 wrapText="1"/>
    </xf>
    <xf numFmtId="0" fontId="21" fillId="9" borderId="28" xfId="0" applyFont="1" applyFill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21" fillId="8" borderId="28" xfId="0" applyFont="1" applyFill="1" applyBorder="1" applyAlignment="1">
      <alignment horizontal="center" vertical="center" wrapText="1"/>
    </xf>
    <xf numFmtId="0" fontId="21" fillId="10" borderId="28" xfId="0" applyFont="1" applyFill="1" applyBorder="1" applyAlignment="1">
      <alignment horizontal="center" vertical="center" wrapText="1"/>
    </xf>
    <xf numFmtId="3" fontId="21" fillId="7" borderId="25" xfId="0" applyNumberFormat="1" applyFont="1" applyFill="1" applyBorder="1" applyAlignment="1">
      <alignment horizontal="center"/>
    </xf>
    <xf numFmtId="3" fontId="21" fillId="7" borderId="26" xfId="0" applyNumberFormat="1" applyFont="1" applyFill="1" applyBorder="1" applyAlignment="1">
      <alignment horizontal="center"/>
    </xf>
    <xf numFmtId="3" fontId="21" fillId="7" borderId="27" xfId="0" applyNumberFormat="1" applyFont="1" applyFill="1" applyBorder="1" applyAlignment="1">
      <alignment horizont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8" fontId="21" fillId="10" borderId="14" xfId="1" applyNumberFormat="1" applyFont="1" applyFill="1" applyBorder="1" applyAlignment="1">
      <alignment horizontal="center" vertical="center"/>
    </xf>
    <xf numFmtId="168" fontId="21" fillId="11" borderId="14" xfId="1" applyNumberFormat="1" applyFont="1" applyFill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37" fillId="0" borderId="29" xfId="0" applyFont="1" applyBorder="1" applyAlignment="1">
      <alignment horizontal="center" vertical="center" wrapText="1"/>
    </xf>
    <xf numFmtId="0" fontId="21" fillId="9" borderId="29" xfId="0" applyFont="1" applyFill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8" fillId="12" borderId="29" xfId="0" applyFont="1" applyFill="1" applyBorder="1" applyAlignment="1">
      <alignment horizontal="center" vertical="center" wrapText="1"/>
    </xf>
    <xf numFmtId="0" fontId="21" fillId="8" borderId="29" xfId="0" applyFont="1" applyFill="1" applyBorder="1" applyAlignment="1">
      <alignment horizontal="center" vertical="center" wrapText="1"/>
    </xf>
    <xf numFmtId="0" fontId="21" fillId="10" borderId="29" xfId="0" applyFont="1" applyFill="1" applyBorder="1" applyAlignment="1">
      <alignment horizontal="center" vertical="center" wrapText="1"/>
    </xf>
    <xf numFmtId="0" fontId="21" fillId="13" borderId="28" xfId="0" applyFont="1" applyFill="1" applyBorder="1" applyAlignment="1">
      <alignment horizontal="center" vertical="center" wrapText="1"/>
    </xf>
    <xf numFmtId="0" fontId="21" fillId="13" borderId="28" xfId="0" applyFont="1" applyFill="1" applyBorder="1" applyAlignment="1">
      <alignment horizontal="center" vertical="center"/>
    </xf>
    <xf numFmtId="0" fontId="37" fillId="0" borderId="30" xfId="0" applyFont="1" applyBorder="1" applyAlignment="1">
      <alignment horizontal="center"/>
    </xf>
    <xf numFmtId="0" fontId="37" fillId="0" borderId="31" xfId="0" applyFont="1" applyBorder="1" applyAlignment="1">
      <alignment horizontal="center"/>
    </xf>
    <xf numFmtId="168" fontId="37" fillId="10" borderId="31" xfId="1" applyNumberFormat="1" applyFont="1" applyFill="1" applyBorder="1" applyAlignment="1">
      <alignment horizontal="center"/>
    </xf>
    <xf numFmtId="168" fontId="37" fillId="0" borderId="31" xfId="1" applyNumberFormat="1" applyFont="1" applyBorder="1" applyAlignment="1">
      <alignment horizontal="center"/>
    </xf>
    <xf numFmtId="3" fontId="37" fillId="0" borderId="31" xfId="0" applyNumberFormat="1" applyFont="1" applyBorder="1" applyAlignment="1">
      <alignment horizontal="center"/>
    </xf>
    <xf numFmtId="168" fontId="21" fillId="0" borderId="31" xfId="1" applyNumberFormat="1" applyFont="1" applyFill="1" applyBorder="1" applyAlignment="1">
      <alignment horizontal="center"/>
    </xf>
    <xf numFmtId="3" fontId="37" fillId="0" borderId="32" xfId="0" applyNumberFormat="1" applyFont="1" applyBorder="1" applyAlignment="1">
      <alignment horizontal="center"/>
    </xf>
    <xf numFmtId="43" fontId="37" fillId="0" borderId="33" xfId="1" applyFont="1" applyFill="1" applyBorder="1" applyAlignment="1">
      <alignment horizontal="center"/>
    </xf>
    <xf numFmtId="43" fontId="21" fillId="9" borderId="33" xfId="1" applyFont="1" applyFill="1" applyBorder="1" applyAlignment="1">
      <alignment horizontal="center"/>
    </xf>
    <xf numFmtId="43" fontId="37" fillId="12" borderId="33" xfId="1" applyFont="1" applyFill="1" applyBorder="1" applyAlignment="1">
      <alignment horizontal="center"/>
    </xf>
    <xf numFmtId="43" fontId="37" fillId="10" borderId="33" xfId="1" applyFont="1" applyFill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168" fontId="37" fillId="10" borderId="3" xfId="1" applyNumberFormat="1" applyFont="1" applyFill="1" applyBorder="1" applyAlignment="1">
      <alignment horizontal="center"/>
    </xf>
    <xf numFmtId="3" fontId="37" fillId="0" borderId="3" xfId="0" applyNumberFormat="1" applyFont="1" applyBorder="1" applyAlignment="1">
      <alignment horizontal="center"/>
    </xf>
    <xf numFmtId="3" fontId="37" fillId="0" borderId="19" xfId="0" applyNumberFormat="1" applyFont="1" applyBorder="1" applyAlignment="1">
      <alignment horizontal="center"/>
    </xf>
    <xf numFmtId="43" fontId="37" fillId="0" borderId="34" xfId="1" applyFont="1" applyFill="1" applyBorder="1" applyAlignment="1">
      <alignment horizontal="center"/>
    </xf>
    <xf numFmtId="168" fontId="21" fillId="9" borderId="33" xfId="1" applyNumberFormat="1" applyFont="1" applyFill="1" applyBorder="1" applyAlignment="1">
      <alignment horizontal="center"/>
    </xf>
    <xf numFmtId="43" fontId="21" fillId="0" borderId="33" xfId="1" applyFont="1" applyFill="1" applyBorder="1" applyAlignment="1">
      <alignment horizontal="center"/>
    </xf>
    <xf numFmtId="43" fontId="38" fillId="12" borderId="33" xfId="1" applyFont="1" applyFill="1" applyBorder="1" applyAlignment="1">
      <alignment horizontal="center"/>
    </xf>
    <xf numFmtId="167" fontId="37" fillId="0" borderId="0" xfId="0" applyNumberFormat="1" applyFont="1" applyAlignment="1">
      <alignment horizontal="center"/>
    </xf>
    <xf numFmtId="0" fontId="21" fillId="0" borderId="3" xfId="0" applyFont="1" applyBorder="1" applyAlignment="1">
      <alignment horizontal="center"/>
    </xf>
    <xf numFmtId="43" fontId="21" fillId="12" borderId="33" xfId="1" applyFont="1" applyFill="1" applyBorder="1" applyAlignment="1">
      <alignment horizontal="center"/>
    </xf>
    <xf numFmtId="3" fontId="21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167" fontId="21" fillId="0" borderId="0" xfId="0" applyNumberFormat="1" applyFont="1" applyAlignment="1">
      <alignment horizontal="center"/>
    </xf>
    <xf numFmtId="0" fontId="39" fillId="0" borderId="3" xfId="0" applyFont="1" applyBorder="1" applyAlignment="1">
      <alignment horizontal="center" wrapText="1"/>
    </xf>
    <xf numFmtId="0" fontId="39" fillId="0" borderId="3" xfId="0" applyFont="1" applyBorder="1" applyAlignment="1">
      <alignment horizontal="center"/>
    </xf>
    <xf numFmtId="168" fontId="39" fillId="10" borderId="3" xfId="1" applyNumberFormat="1" applyFont="1" applyFill="1" applyBorder="1" applyAlignment="1">
      <alignment horizontal="center"/>
    </xf>
    <xf numFmtId="168" fontId="39" fillId="10" borderId="3" xfId="1" applyNumberFormat="1" applyFont="1" applyFill="1" applyBorder="1" applyAlignment="1">
      <alignment horizontal="center" wrapText="1"/>
    </xf>
    <xf numFmtId="0" fontId="37" fillId="0" borderId="3" xfId="0" applyFont="1" applyBorder="1" applyAlignment="1">
      <alignment horizontal="center" wrapText="1"/>
    </xf>
    <xf numFmtId="43" fontId="37" fillId="0" borderId="3" xfId="1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3" fontId="21" fillId="7" borderId="3" xfId="0" applyNumberFormat="1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/>
    </xf>
    <xf numFmtId="0" fontId="37" fillId="9" borderId="3" xfId="0" applyFont="1" applyFill="1" applyBorder="1" applyAlignment="1">
      <alignment horizontal="center"/>
    </xf>
    <xf numFmtId="168" fontId="37" fillId="9" borderId="31" xfId="1" applyNumberFormat="1" applyFont="1" applyFill="1" applyBorder="1" applyAlignment="1">
      <alignment horizontal="center"/>
    </xf>
    <xf numFmtId="3" fontId="37" fillId="9" borderId="3" xfId="0" applyNumberFormat="1" applyFont="1" applyFill="1" applyBorder="1" applyAlignment="1">
      <alignment horizontal="center"/>
    </xf>
    <xf numFmtId="168" fontId="21" fillId="9" borderId="31" xfId="1" applyNumberFormat="1" applyFont="1" applyFill="1" applyBorder="1" applyAlignment="1">
      <alignment horizontal="center"/>
    </xf>
    <xf numFmtId="3" fontId="37" fillId="9" borderId="19" xfId="0" applyNumberFormat="1" applyFont="1" applyFill="1" applyBorder="1" applyAlignment="1">
      <alignment horizontal="center"/>
    </xf>
    <xf numFmtId="43" fontId="21" fillId="9" borderId="34" xfId="1" applyFont="1" applyFill="1" applyBorder="1" applyAlignment="1">
      <alignment horizontal="center"/>
    </xf>
    <xf numFmtId="43" fontId="37" fillId="9" borderId="33" xfId="1" applyFont="1" applyFill="1" applyBorder="1" applyAlignment="1">
      <alignment horizontal="center"/>
    </xf>
    <xf numFmtId="3" fontId="37" fillId="14" borderId="3" xfId="0" applyNumberFormat="1" applyFont="1" applyFill="1" applyBorder="1" applyAlignment="1">
      <alignment horizontal="center"/>
    </xf>
    <xf numFmtId="0" fontId="37" fillId="14" borderId="3" xfId="0" applyFont="1" applyFill="1" applyBorder="1" applyAlignment="1">
      <alignment horizontal="center" wrapText="1"/>
    </xf>
    <xf numFmtId="3" fontId="21" fillId="0" borderId="31" xfId="0" applyNumberFormat="1" applyFont="1" applyBorder="1" applyAlignment="1">
      <alignment horizontal="center"/>
    </xf>
    <xf numFmtId="3" fontId="21" fillId="9" borderId="33" xfId="0" applyNumberFormat="1" applyFont="1" applyFill="1" applyBorder="1" applyAlignment="1">
      <alignment horizontal="center"/>
    </xf>
    <xf numFmtId="3" fontId="21" fillId="0" borderId="33" xfId="0" applyNumberFormat="1" applyFont="1" applyBorder="1" applyAlignment="1">
      <alignment horizontal="center"/>
    </xf>
    <xf numFmtId="3" fontId="21" fillId="12" borderId="33" xfId="0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wrapText="1"/>
    </xf>
    <xf numFmtId="43" fontId="21" fillId="0" borderId="34" xfId="1" applyFont="1" applyFill="1" applyBorder="1" applyAlignment="1">
      <alignment horizontal="center"/>
    </xf>
    <xf numFmtId="0" fontId="21" fillId="0" borderId="30" xfId="0" applyFont="1" applyBorder="1" applyAlignment="1">
      <alignment horizontal="center"/>
    </xf>
    <xf numFmtId="3" fontId="21" fillId="14" borderId="3" xfId="0" applyNumberFormat="1" applyFont="1" applyFill="1" applyBorder="1" applyAlignment="1">
      <alignment horizontal="center"/>
    </xf>
    <xf numFmtId="0" fontId="21" fillId="14" borderId="3" xfId="0" applyFont="1" applyFill="1" applyBorder="1" applyAlignment="1">
      <alignment horizontal="center"/>
    </xf>
    <xf numFmtId="168" fontId="21" fillId="0" borderId="3" xfId="1" applyNumberFormat="1" applyFont="1" applyFill="1" applyBorder="1" applyAlignment="1">
      <alignment horizontal="center"/>
    </xf>
    <xf numFmtId="168" fontId="37" fillId="0" borderId="31" xfId="1" applyNumberFormat="1" applyFont="1" applyFill="1" applyBorder="1" applyAlignment="1">
      <alignment horizontal="center"/>
    </xf>
    <xf numFmtId="168" fontId="21" fillId="0" borderId="33" xfId="1" applyNumberFormat="1" applyFont="1" applyFill="1" applyBorder="1" applyAlignment="1">
      <alignment horizontal="center"/>
    </xf>
    <xf numFmtId="168" fontId="21" fillId="12" borderId="33" xfId="1" applyNumberFormat="1" applyFont="1" applyFill="1" applyBorder="1" applyAlignment="1">
      <alignment horizontal="center"/>
    </xf>
    <xf numFmtId="168" fontId="37" fillId="0" borderId="33" xfId="1" applyNumberFormat="1" applyFont="1" applyFill="1" applyBorder="1" applyAlignment="1">
      <alignment horizontal="center"/>
    </xf>
    <xf numFmtId="3" fontId="37" fillId="15" borderId="3" xfId="0" applyNumberFormat="1" applyFont="1" applyFill="1" applyBorder="1" applyAlignment="1">
      <alignment horizontal="center"/>
    </xf>
    <xf numFmtId="0" fontId="37" fillId="15" borderId="3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43" fontId="21" fillId="0" borderId="3" xfId="1" applyFont="1" applyFill="1" applyBorder="1" applyAlignment="1">
      <alignment horizontal="center"/>
    </xf>
    <xf numFmtId="168" fontId="38" fillId="12" borderId="33" xfId="1" applyNumberFormat="1" applyFont="1" applyFill="1" applyBorder="1" applyAlignment="1">
      <alignment horizontal="center"/>
    </xf>
    <xf numFmtId="3" fontId="21" fillId="0" borderId="3" xfId="0" applyNumberFormat="1" applyFont="1" applyBorder="1" applyAlignment="1">
      <alignment horizontal="center" wrapText="1"/>
    </xf>
    <xf numFmtId="43" fontId="37" fillId="0" borderId="0" xfId="1" applyFont="1" applyAlignment="1">
      <alignment horizontal="center"/>
    </xf>
    <xf numFmtId="43" fontId="37" fillId="0" borderId="3" xfId="1" applyFont="1" applyFill="1" applyBorder="1" applyAlignment="1">
      <alignment horizontal="center"/>
    </xf>
    <xf numFmtId="0" fontId="40" fillId="13" borderId="30" xfId="0" applyFont="1" applyFill="1" applyBorder="1" applyAlignment="1">
      <alignment horizontal="center" vertical="center"/>
    </xf>
    <xf numFmtId="0" fontId="40" fillId="16" borderId="3" xfId="0" applyFont="1" applyFill="1" applyBorder="1" applyAlignment="1">
      <alignment horizontal="center" vertical="center" wrapText="1"/>
    </xf>
    <xf numFmtId="0" fontId="40" fillId="16" borderId="3" xfId="0" applyFont="1" applyFill="1" applyBorder="1" applyAlignment="1">
      <alignment horizontal="center" vertical="center"/>
    </xf>
    <xf numFmtId="168" fontId="40" fillId="10" borderId="3" xfId="1" applyNumberFormat="1" applyFont="1" applyFill="1" applyBorder="1" applyAlignment="1">
      <alignment horizontal="center" vertical="center"/>
    </xf>
    <xf numFmtId="168" fontId="37" fillId="16" borderId="31" xfId="1" applyNumberFormat="1" applyFont="1" applyFill="1" applyBorder="1" applyAlignment="1">
      <alignment horizontal="center"/>
    </xf>
    <xf numFmtId="43" fontId="40" fillId="16" borderId="3" xfId="1" applyFont="1" applyFill="1" applyBorder="1" applyAlignment="1">
      <alignment horizontal="center" vertical="center"/>
    </xf>
    <xf numFmtId="168" fontId="40" fillId="16" borderId="3" xfId="1" applyNumberFormat="1" applyFont="1" applyFill="1" applyBorder="1" applyAlignment="1">
      <alignment horizontal="center" vertical="center"/>
    </xf>
    <xf numFmtId="3" fontId="40" fillId="16" borderId="19" xfId="0" applyNumberFormat="1" applyFont="1" applyFill="1" applyBorder="1" applyAlignment="1">
      <alignment horizontal="center" vertical="center"/>
    </xf>
    <xf numFmtId="43" fontId="40" fillId="16" borderId="34" xfId="1" applyFont="1" applyFill="1" applyBorder="1" applyAlignment="1">
      <alignment horizontal="center" vertical="center"/>
    </xf>
    <xf numFmtId="43" fontId="40" fillId="16" borderId="33" xfId="1" applyFont="1" applyFill="1" applyBorder="1" applyAlignment="1">
      <alignment horizontal="center" vertical="center"/>
    </xf>
    <xf numFmtId="43" fontId="41" fillId="16" borderId="33" xfId="1" applyFont="1" applyFill="1" applyBorder="1" applyAlignment="1">
      <alignment horizontal="center" vertical="center"/>
    </xf>
    <xf numFmtId="43" fontId="37" fillId="16" borderId="33" xfId="1" applyFont="1" applyFill="1" applyBorder="1" applyAlignment="1">
      <alignment horizontal="center"/>
    </xf>
    <xf numFmtId="3" fontId="40" fillId="16" borderId="3" xfId="0" applyNumberFormat="1" applyFont="1" applyFill="1" applyBorder="1" applyAlignment="1">
      <alignment horizontal="center" vertical="center"/>
    </xf>
    <xf numFmtId="0" fontId="40" fillId="13" borderId="0" xfId="0" applyFont="1" applyFill="1" applyAlignment="1">
      <alignment horizontal="center"/>
    </xf>
    <xf numFmtId="0" fontId="40" fillId="0" borderId="30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/>
    </xf>
    <xf numFmtId="0" fontId="40" fillId="0" borderId="3" xfId="0" applyFont="1" applyBorder="1" applyAlignment="1">
      <alignment horizontal="center" vertical="center"/>
    </xf>
    <xf numFmtId="43" fontId="40" fillId="0" borderId="3" xfId="1" applyFont="1" applyFill="1" applyBorder="1" applyAlignment="1">
      <alignment horizontal="center" vertical="center"/>
    </xf>
    <xf numFmtId="168" fontId="41" fillId="0" borderId="3" xfId="1" applyNumberFormat="1" applyFont="1" applyFill="1" applyBorder="1" applyAlignment="1">
      <alignment horizontal="center" vertical="center"/>
    </xf>
    <xf numFmtId="3" fontId="40" fillId="0" borderId="19" xfId="0" applyNumberFormat="1" applyFont="1" applyBorder="1" applyAlignment="1">
      <alignment horizontal="center" vertical="center"/>
    </xf>
    <xf numFmtId="43" fontId="40" fillId="0" borderId="34" xfId="1" applyFont="1" applyFill="1" applyBorder="1" applyAlignment="1">
      <alignment horizontal="center" vertical="center"/>
    </xf>
    <xf numFmtId="43" fontId="40" fillId="0" borderId="33" xfId="1" applyFont="1" applyFill="1" applyBorder="1" applyAlignment="1">
      <alignment horizontal="center" vertical="center"/>
    </xf>
    <xf numFmtId="43" fontId="41" fillId="9" borderId="33" xfId="1" applyFont="1" applyFill="1" applyBorder="1" applyAlignment="1">
      <alignment horizontal="center" vertical="center"/>
    </xf>
    <xf numFmtId="43" fontId="40" fillId="12" borderId="33" xfId="1" applyFont="1" applyFill="1" applyBorder="1" applyAlignment="1">
      <alignment horizontal="center" vertical="center"/>
    </xf>
    <xf numFmtId="3" fontId="40" fillId="15" borderId="3" xfId="0" applyNumberFormat="1" applyFont="1" applyFill="1" applyBorder="1" applyAlignment="1">
      <alignment horizontal="center" vertical="center"/>
    </xf>
    <xf numFmtId="0" fontId="40" fillId="15" borderId="3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167" fontId="40" fillId="0" borderId="0" xfId="0" applyNumberFormat="1" applyFont="1" applyAlignment="1">
      <alignment horizontal="center"/>
    </xf>
    <xf numFmtId="0" fontId="37" fillId="14" borderId="3" xfId="0" applyFont="1" applyFill="1" applyBorder="1" applyAlignment="1">
      <alignment horizontal="center"/>
    </xf>
    <xf numFmtId="3" fontId="37" fillId="0" borderId="35" xfId="0" applyNumberFormat="1" applyFont="1" applyBorder="1" applyAlignment="1">
      <alignment horizontal="center"/>
    </xf>
    <xf numFmtId="43" fontId="37" fillId="0" borderId="31" xfId="1" applyFont="1" applyFill="1" applyBorder="1" applyAlignment="1">
      <alignment horizontal="center"/>
    </xf>
    <xf numFmtId="0" fontId="37" fillId="0" borderId="36" xfId="0" applyFont="1" applyBorder="1" applyAlignment="1">
      <alignment horizontal="center"/>
    </xf>
    <xf numFmtId="0" fontId="37" fillId="0" borderId="37" xfId="0" applyFont="1" applyBorder="1" applyAlignment="1">
      <alignment horizontal="center"/>
    </xf>
    <xf numFmtId="168" fontId="37" fillId="10" borderId="37" xfId="1" applyNumberFormat="1" applyFont="1" applyFill="1" applyBorder="1" applyAlignment="1">
      <alignment horizontal="center"/>
    </xf>
    <xf numFmtId="43" fontId="37" fillId="0" borderId="37" xfId="1" applyFont="1" applyFill="1" applyBorder="1" applyAlignment="1">
      <alignment horizontal="center"/>
    </xf>
    <xf numFmtId="168" fontId="21" fillId="0" borderId="37" xfId="1" applyNumberFormat="1" applyFont="1" applyFill="1" applyBorder="1" applyAlignment="1">
      <alignment horizontal="center"/>
    </xf>
    <xf numFmtId="43" fontId="21" fillId="0" borderId="37" xfId="1" applyFont="1" applyFill="1" applyBorder="1" applyAlignment="1">
      <alignment horizontal="center"/>
    </xf>
    <xf numFmtId="43" fontId="37" fillId="0" borderId="38" xfId="1" applyFont="1" applyFill="1" applyBorder="1" applyAlignment="1">
      <alignment horizontal="center"/>
    </xf>
    <xf numFmtId="43" fontId="21" fillId="0" borderId="38" xfId="1" applyFont="1" applyFill="1" applyBorder="1" applyAlignment="1">
      <alignment horizontal="center"/>
    </xf>
    <xf numFmtId="43" fontId="21" fillId="9" borderId="39" xfId="1" applyFont="1" applyFill="1" applyBorder="1" applyAlignment="1">
      <alignment horizontal="center"/>
    </xf>
    <xf numFmtId="43" fontId="21" fillId="0" borderId="39" xfId="1" applyFont="1" applyFill="1" applyBorder="1" applyAlignment="1">
      <alignment horizontal="center"/>
    </xf>
    <xf numFmtId="43" fontId="21" fillId="12" borderId="39" xfId="1" applyFont="1" applyFill="1" applyBorder="1" applyAlignment="1">
      <alignment horizontal="center"/>
    </xf>
    <xf numFmtId="3" fontId="21" fillId="15" borderId="37" xfId="0" applyNumberFormat="1" applyFont="1" applyFill="1" applyBorder="1" applyAlignment="1">
      <alignment horizontal="center"/>
    </xf>
    <xf numFmtId="0" fontId="21" fillId="15" borderId="37" xfId="0" applyFont="1" applyFill="1" applyBorder="1" applyAlignment="1">
      <alignment horizontal="center"/>
    </xf>
    <xf numFmtId="43" fontId="21" fillId="9" borderId="3" xfId="1" applyFont="1" applyFill="1" applyBorder="1" applyAlignment="1">
      <alignment horizontal="center"/>
    </xf>
    <xf numFmtId="168" fontId="21" fillId="9" borderId="3" xfId="1" applyNumberFormat="1" applyFont="1" applyFill="1" applyBorder="1" applyAlignment="1">
      <alignment horizontal="center"/>
    </xf>
    <xf numFmtId="3" fontId="21" fillId="9" borderId="3" xfId="0" applyNumberFormat="1" applyFont="1" applyFill="1" applyBorder="1" applyAlignment="1">
      <alignment horizontal="center"/>
    </xf>
    <xf numFmtId="43" fontId="37" fillId="9" borderId="31" xfId="1" applyFont="1" applyFill="1" applyBorder="1" applyAlignment="1">
      <alignment horizontal="center"/>
    </xf>
    <xf numFmtId="43" fontId="21" fillId="9" borderId="31" xfId="1" applyFont="1" applyFill="1" applyBorder="1" applyAlignment="1">
      <alignment horizontal="center"/>
    </xf>
    <xf numFmtId="0" fontId="21" fillId="9" borderId="3" xfId="0" applyFont="1" applyFill="1" applyBorder="1" applyAlignment="1">
      <alignment horizontal="center"/>
    </xf>
    <xf numFmtId="0" fontId="37" fillId="0" borderId="37" xfId="0" applyFont="1" applyBorder="1" applyAlignment="1">
      <alignment horizontal="center" wrapText="1"/>
    </xf>
    <xf numFmtId="3" fontId="37" fillId="0" borderId="37" xfId="0" applyNumberFormat="1" applyFont="1" applyBorder="1" applyAlignment="1">
      <alignment horizontal="center"/>
    </xf>
    <xf numFmtId="43" fontId="21" fillId="0" borderId="31" xfId="1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168" fontId="42" fillId="0" borderId="3" xfId="1" applyNumberFormat="1" applyFont="1" applyFill="1" applyBorder="1" applyAlignment="1">
      <alignment horizontal="center"/>
    </xf>
    <xf numFmtId="168" fontId="43" fillId="10" borderId="3" xfId="1" applyNumberFormat="1" applyFont="1" applyFill="1" applyBorder="1" applyAlignment="1">
      <alignment horizontal="center"/>
    </xf>
    <xf numFmtId="0" fontId="42" fillId="9" borderId="3" xfId="0" applyFont="1" applyFill="1" applyBorder="1" applyAlignment="1">
      <alignment horizontal="center"/>
    </xf>
    <xf numFmtId="43" fontId="37" fillId="9" borderId="3" xfId="1" applyFont="1" applyFill="1" applyBorder="1" applyAlignment="1">
      <alignment horizontal="center"/>
    </xf>
    <xf numFmtId="0" fontId="42" fillId="0" borderId="3" xfId="0" applyFont="1" applyBorder="1" applyAlignment="1">
      <alignment horizontal="center" wrapText="1"/>
    </xf>
    <xf numFmtId="168" fontId="43" fillId="10" borderId="3" xfId="1" applyNumberFormat="1" applyFont="1" applyFill="1" applyBorder="1" applyAlignment="1">
      <alignment horizontal="center" wrapText="1"/>
    </xf>
    <xf numFmtId="0" fontId="42" fillId="9" borderId="3" xfId="0" applyFont="1" applyFill="1" applyBorder="1" applyAlignment="1">
      <alignment horizontal="center" wrapText="1"/>
    </xf>
    <xf numFmtId="0" fontId="21" fillId="9" borderId="3" xfId="0" applyFont="1" applyFill="1" applyBorder="1" applyAlignment="1">
      <alignment horizontal="center" wrapText="1"/>
    </xf>
    <xf numFmtId="168" fontId="42" fillId="10" borderId="3" xfId="1" applyNumberFormat="1" applyFont="1" applyFill="1" applyBorder="1" applyAlignment="1">
      <alignment horizontal="center" wrapText="1"/>
    </xf>
    <xf numFmtId="43" fontId="38" fillId="9" borderId="33" xfId="1" applyFont="1" applyFill="1" applyBorder="1" applyAlignment="1">
      <alignment horizontal="center"/>
    </xf>
    <xf numFmtId="0" fontId="42" fillId="0" borderId="40" xfId="0" applyFont="1" applyBorder="1" applyAlignment="1">
      <alignment horizontal="center" wrapText="1"/>
    </xf>
    <xf numFmtId="168" fontId="42" fillId="10" borderId="40" xfId="1" applyNumberFormat="1" applyFont="1" applyFill="1" applyBorder="1" applyAlignment="1">
      <alignment horizontal="center" wrapText="1"/>
    </xf>
    <xf numFmtId="43" fontId="37" fillId="12" borderId="3" xfId="1" applyFont="1" applyFill="1" applyBorder="1" applyAlignment="1">
      <alignment horizontal="center"/>
    </xf>
    <xf numFmtId="0" fontId="37" fillId="0" borderId="39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42" fillId="0" borderId="41" xfId="0" applyFont="1" applyBorder="1" applyAlignment="1">
      <alignment horizontal="center" wrapText="1"/>
    </xf>
    <xf numFmtId="168" fontId="42" fillId="10" borderId="41" xfId="1" applyNumberFormat="1" applyFont="1" applyFill="1" applyBorder="1" applyAlignment="1">
      <alignment horizontal="center" wrapText="1"/>
    </xf>
    <xf numFmtId="43" fontId="21" fillId="9" borderId="37" xfId="1" applyFont="1" applyFill="1" applyBorder="1" applyAlignment="1">
      <alignment horizontal="center"/>
    </xf>
    <xf numFmtId="43" fontId="37" fillId="12" borderId="37" xfId="1" applyFont="1" applyFill="1" applyBorder="1" applyAlignment="1">
      <alignment horizontal="center"/>
    </xf>
    <xf numFmtId="0" fontId="21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168" fontId="21" fillId="7" borderId="14" xfId="1" applyNumberFormat="1" applyFont="1" applyFill="1" applyBorder="1" applyAlignment="1">
      <alignment horizontal="center" vertical="center"/>
    </xf>
    <xf numFmtId="43" fontId="21" fillId="7" borderId="45" xfId="1" applyFont="1" applyFill="1" applyBorder="1" applyAlignment="1">
      <alignment horizontal="center" vertical="center"/>
    </xf>
    <xf numFmtId="43" fontId="21" fillId="7" borderId="46" xfId="1" applyFont="1" applyFill="1" applyBorder="1" applyAlignment="1">
      <alignment horizontal="center" vertical="center"/>
    </xf>
    <xf numFmtId="43" fontId="21" fillId="7" borderId="29" xfId="1" applyFont="1" applyFill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68" fontId="21" fillId="0" borderId="47" xfId="0" applyNumberFormat="1" applyFont="1" applyBorder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168" fontId="21" fillId="0" borderId="48" xfId="0" applyNumberFormat="1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168" fontId="21" fillId="0" borderId="45" xfId="0" applyNumberFormat="1" applyFont="1" applyBorder="1" applyAlignment="1">
      <alignment horizontal="center" vertical="center"/>
    </xf>
    <xf numFmtId="168" fontId="21" fillId="0" borderId="46" xfId="0" applyNumberFormat="1" applyFont="1" applyBorder="1" applyAlignment="1">
      <alignment horizontal="center" vertical="center"/>
    </xf>
    <xf numFmtId="168" fontId="21" fillId="0" borderId="29" xfId="0" applyNumberFormat="1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168" fontId="21" fillId="0" borderId="49" xfId="0" applyNumberFormat="1" applyFont="1" applyBorder="1" applyAlignment="1">
      <alignment horizontal="center" vertical="center"/>
    </xf>
    <xf numFmtId="168" fontId="21" fillId="0" borderId="50" xfId="0" applyNumberFormat="1" applyFont="1" applyBorder="1" applyAlignment="1">
      <alignment horizontal="center" vertical="center"/>
    </xf>
    <xf numFmtId="168" fontId="21" fillId="0" borderId="51" xfId="0" applyNumberFormat="1" applyFont="1" applyBorder="1" applyAlignment="1">
      <alignment horizontal="center" vertical="center"/>
    </xf>
    <xf numFmtId="168" fontId="37" fillId="0" borderId="0" xfId="0" applyNumberFormat="1" applyFont="1" applyAlignment="1">
      <alignment horizont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168" fontId="21" fillId="0" borderId="25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8" fontId="21" fillId="0" borderId="0" xfId="0" applyNumberFormat="1" applyFont="1" applyAlignment="1">
      <alignment horizontal="center"/>
    </xf>
    <xf numFmtId="168" fontId="37" fillId="0" borderId="0" xfId="1" applyNumberFormat="1" applyFont="1" applyAlignment="1">
      <alignment horizontal="center"/>
    </xf>
    <xf numFmtId="168" fontId="37" fillId="0" borderId="0" xfId="1" applyNumberFormat="1" applyFont="1" applyBorder="1" applyAlignment="1">
      <alignment horizontal="center"/>
    </xf>
    <xf numFmtId="0" fontId="21" fillId="0" borderId="27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/>
    </xf>
    <xf numFmtId="0" fontId="37" fillId="0" borderId="51" xfId="0" applyFont="1" applyBorder="1" applyAlignment="1">
      <alignment horizontal="center"/>
    </xf>
    <xf numFmtId="0" fontId="21" fillId="17" borderId="14" xfId="0" applyFont="1" applyFill="1" applyBorder="1" applyAlignment="1">
      <alignment horizontal="center" vertical="center"/>
    </xf>
    <xf numFmtId="0" fontId="21" fillId="17" borderId="52" xfId="0" applyFont="1" applyFill="1" applyBorder="1" applyAlignment="1">
      <alignment horizontal="center" vertical="center"/>
    </xf>
    <xf numFmtId="0" fontId="37" fillId="0" borderId="48" xfId="0" applyFont="1" applyBorder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1" fillId="0" borderId="53" xfId="0" applyFont="1" applyBorder="1" applyAlignment="1">
      <alignment horizontal="center"/>
    </xf>
    <xf numFmtId="0" fontId="37" fillId="0" borderId="53" xfId="0" applyFont="1" applyBorder="1" applyAlignment="1">
      <alignment horizontal="center" wrapText="1"/>
    </xf>
    <xf numFmtId="43" fontId="37" fillId="0" borderId="53" xfId="1" applyFont="1" applyBorder="1" applyAlignment="1">
      <alignment horizontal="center"/>
    </xf>
    <xf numFmtId="43" fontId="37" fillId="0" borderId="0" xfId="1" applyFont="1" applyBorder="1" applyAlignment="1">
      <alignment horizontal="center"/>
    </xf>
    <xf numFmtId="0" fontId="21" fillId="0" borderId="54" xfId="0" applyFont="1" applyBorder="1" applyAlignment="1">
      <alignment horizontal="center"/>
    </xf>
    <xf numFmtId="0" fontId="37" fillId="0" borderId="54" xfId="0" applyFont="1" applyBorder="1" applyAlignment="1">
      <alignment horizontal="center" wrapText="1"/>
    </xf>
    <xf numFmtId="43" fontId="37" fillId="0" borderId="54" xfId="1" applyFont="1" applyBorder="1" applyAlignment="1">
      <alignment horizontal="center"/>
    </xf>
    <xf numFmtId="0" fontId="37" fillId="0" borderId="52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37" fillId="0" borderId="55" xfId="0" applyFont="1" applyBorder="1" applyAlignment="1">
      <alignment horizontal="center" wrapText="1"/>
    </xf>
    <xf numFmtId="43" fontId="37" fillId="0" borderId="55" xfId="1" applyFont="1" applyBorder="1" applyAlignment="1">
      <alignment horizontal="center"/>
    </xf>
    <xf numFmtId="0" fontId="37" fillId="0" borderId="28" xfId="0" applyFont="1" applyBorder="1" applyAlignment="1">
      <alignment horizontal="center"/>
    </xf>
    <xf numFmtId="43" fontId="21" fillId="0" borderId="0" xfId="1" applyFont="1" applyBorder="1" applyAlignment="1">
      <alignment horizontal="center"/>
    </xf>
    <xf numFmtId="0" fontId="37" fillId="0" borderId="14" xfId="0" applyFont="1" applyBorder="1" applyAlignment="1">
      <alignment horizontal="center" wrapText="1"/>
    </xf>
    <xf numFmtId="43" fontId="37" fillId="0" borderId="14" xfId="1" applyFont="1" applyBorder="1" applyAlignment="1">
      <alignment horizontal="center"/>
    </xf>
    <xf numFmtId="0" fontId="37" fillId="0" borderId="52" xfId="0" applyFont="1" applyBorder="1" applyAlignment="1">
      <alignment horizontal="center" wrapText="1"/>
    </xf>
    <xf numFmtId="0" fontId="21" fillId="0" borderId="56" xfId="0" applyFont="1" applyBorder="1" applyAlignment="1">
      <alignment horizontal="center"/>
    </xf>
    <xf numFmtId="0" fontId="37" fillId="0" borderId="38" xfId="0" applyFont="1" applyBorder="1" applyAlignment="1">
      <alignment horizontal="center" wrapText="1"/>
    </xf>
    <xf numFmtId="43" fontId="37" fillId="0" borderId="38" xfId="1" applyFont="1" applyBorder="1" applyAlignment="1">
      <alignment horizontal="center"/>
    </xf>
    <xf numFmtId="0" fontId="21" fillId="0" borderId="25" xfId="0" applyFont="1" applyBorder="1" applyAlignment="1">
      <alignment horizontal="center" vertical="center"/>
    </xf>
    <xf numFmtId="168" fontId="21" fillId="0" borderId="14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14" xfId="0" applyFont="1" applyBorder="1" applyAlignment="1">
      <alignment horizontal="center"/>
    </xf>
    <xf numFmtId="0" fontId="37" fillId="0" borderId="25" xfId="0" applyFont="1" applyBorder="1" applyAlignment="1">
      <alignment horizontal="center" vertical="center" wrapText="1"/>
    </xf>
    <xf numFmtId="43" fontId="21" fillId="0" borderId="28" xfId="1" applyFont="1" applyBorder="1" applyAlignment="1">
      <alignment horizontal="center" vertical="center"/>
    </xf>
    <xf numFmtId="168" fontId="21" fillId="0" borderId="28" xfId="0" applyNumberFormat="1" applyFont="1" applyBorder="1" applyAlignment="1">
      <alignment horizontal="center" vertical="center"/>
    </xf>
    <xf numFmtId="43" fontId="37" fillId="0" borderId="0" xfId="1" applyFont="1" applyFill="1" applyAlignment="1">
      <alignment horizontal="center"/>
    </xf>
    <xf numFmtId="0" fontId="21" fillId="0" borderId="25" xfId="0" applyFont="1" applyBorder="1" applyAlignment="1">
      <alignment horizontal="center" vertical="center"/>
    </xf>
    <xf numFmtId="0" fontId="21" fillId="8" borderId="25" xfId="0" applyFont="1" applyFill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/>
    </xf>
    <xf numFmtId="43" fontId="37" fillId="0" borderId="0" xfId="1" applyFont="1" applyFill="1" applyBorder="1" applyAlignment="1">
      <alignment horizontal="center"/>
    </xf>
    <xf numFmtId="0" fontId="37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43" fontId="21" fillId="0" borderId="0" xfId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9" fontId="21" fillId="0" borderId="0" xfId="0" applyNumberFormat="1" applyFont="1" applyAlignment="1">
      <alignment horizontal="center"/>
    </xf>
    <xf numFmtId="0" fontId="21" fillId="0" borderId="25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8"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Tracking%20Sheet%20with%20ammou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pdate%20Billing-report%20by%20say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counts%20PC%20Main%20Data-16-7-24\Sayed%2001st%20April-2021\V9%20Techno-Delhi\F.Y.%202025-26\Purchase%20Order-Party%20Wise\Updated_%20Po%20wise%20Value%20%20with%20billing%20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PO Sheet "/>
      <sheetName val="Tracking Sheet "/>
      <sheetName val="Data Analysis"/>
      <sheetName val="Sheet2"/>
      <sheetName val="Top-10 pending amo."/>
      <sheetName val="Copy of Tracking Sheet "/>
    </sheetNames>
    <sheetDataSet>
      <sheetData sheetId="0"/>
      <sheetData sheetId="1"/>
      <sheetData sheetId="2"/>
      <sheetData sheetId="3"/>
      <sheetData sheetId="4"/>
      <sheetData sheetId="5">
        <row r="2">
          <cell r="H2" t="str">
            <v>3 years, 7 months, 9 days</v>
          </cell>
        </row>
        <row r="3">
          <cell r="H3" t="str">
            <v>1 years, 11 months, 13 days</v>
          </cell>
        </row>
        <row r="5">
          <cell r="H5" t="str">
            <v>1 years, 9 months, 5 days</v>
          </cell>
        </row>
        <row r="6">
          <cell r="H6" t="str">
            <v>1 years, 7 months, 10 days</v>
          </cell>
        </row>
        <row r="7">
          <cell r="H7" t="str">
            <v>1 years, 5 months, 14 days</v>
          </cell>
        </row>
        <row r="8">
          <cell r="H8" t="str">
            <v>1 years, 5 months, 17 days</v>
          </cell>
        </row>
        <row r="10">
          <cell r="H10" t="str">
            <v>1 years, 5 months, 17 days</v>
          </cell>
        </row>
        <row r="12">
          <cell r="H12" t="str">
            <v>1 years, 1 months, 15 days</v>
          </cell>
        </row>
        <row r="13">
          <cell r="H13" t="str">
            <v>1 years, 0 months, 24 days</v>
          </cell>
        </row>
        <row r="14">
          <cell r="H14" t="str">
            <v>1 years, 0 months, 29 days</v>
          </cell>
        </row>
        <row r="15">
          <cell r="H15" t="str">
            <v>0 years, 7 months, 21 days</v>
          </cell>
        </row>
        <row r="16">
          <cell r="H16" t="str">
            <v>0 years, 8 months, 17 days</v>
          </cell>
        </row>
        <row r="17">
          <cell r="H17" t="str">
            <v>0 years, 9 months, 15 days</v>
          </cell>
        </row>
        <row r="18">
          <cell r="H18" t="str">
            <v>0 years, 11 months, 11 days</v>
          </cell>
        </row>
        <row r="19">
          <cell r="H19" t="str">
            <v>0 years, 11 months, 13 days</v>
          </cell>
        </row>
        <row r="20">
          <cell r="H20" t="str">
            <v>0 years, 10 months, 19 days</v>
          </cell>
        </row>
        <row r="21">
          <cell r="H21" t="str">
            <v>0 years, 11 months, 13 days</v>
          </cell>
        </row>
        <row r="22">
          <cell r="H22" t="str">
            <v>0 years, 9 months, 29 days</v>
          </cell>
        </row>
        <row r="23">
          <cell r="H23" t="str">
            <v>0 years, 8 months, 22 days</v>
          </cell>
        </row>
        <row r="24">
          <cell r="H24" t="str">
            <v>0 years, 9 months, 13 days</v>
          </cell>
        </row>
        <row r="25">
          <cell r="H25" t="str">
            <v>0 years, 4 months, 12 days</v>
          </cell>
        </row>
        <row r="26">
          <cell r="H26" t="str">
            <v>0 years, 5 months, 19 days</v>
          </cell>
        </row>
        <row r="27">
          <cell r="H27" t="str">
            <v>0 years, 11 months, 26 days</v>
          </cell>
        </row>
        <row r="28">
          <cell r="H28" t="str">
            <v>0 years, 2 months, 20 days</v>
          </cell>
        </row>
        <row r="29">
          <cell r="H29" t="str">
            <v>0 years, 4 months, 25 days</v>
          </cell>
        </row>
        <row r="30">
          <cell r="H30" t="str">
            <v>0 years, 9 months, 8 days</v>
          </cell>
        </row>
        <row r="34">
          <cell r="H34" t="str">
            <v>0 years, 9 months, 24 days</v>
          </cell>
        </row>
        <row r="37">
          <cell r="H37" t="str">
            <v>0 years, 3 months, 11 days</v>
          </cell>
        </row>
        <row r="38">
          <cell r="H38" t="str">
            <v>0 years, 3 months, 11 days</v>
          </cell>
        </row>
        <row r="39">
          <cell r="H39" t="str">
            <v>0 years, 3 months, 11 days</v>
          </cell>
        </row>
        <row r="41">
          <cell r="H41" t="str">
            <v>0 years, 2 months, 16 days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ld Working"/>
      <sheetName val="For Pooran to billing"/>
      <sheetName val="Final Billing det as per Tally"/>
      <sheetName val="Billing detail req by Sir-Nov"/>
      <sheetName val="Project details"/>
      <sheetName val="PO value by Admin"/>
    </sheetNames>
    <sheetDataSet>
      <sheetData sheetId="0">
        <row r="9">
          <cell r="L9">
            <v>11020948</v>
          </cell>
        </row>
        <row r="13">
          <cell r="L13">
            <v>116800</v>
          </cell>
        </row>
        <row r="20">
          <cell r="L20">
            <v>2417065</v>
          </cell>
        </row>
        <row r="22">
          <cell r="L22">
            <v>3057405</v>
          </cell>
        </row>
        <row r="24">
          <cell r="L24">
            <v>651981.69999999995</v>
          </cell>
        </row>
        <row r="28">
          <cell r="L28">
            <v>10696818.5</v>
          </cell>
        </row>
        <row r="31">
          <cell r="L31">
            <v>1733520</v>
          </cell>
        </row>
        <row r="51">
          <cell r="L51">
            <v>23726011</v>
          </cell>
        </row>
        <row r="55">
          <cell r="L55">
            <v>907796</v>
          </cell>
        </row>
        <row r="59">
          <cell r="G59">
            <v>1126004</v>
          </cell>
        </row>
        <row r="60">
          <cell r="G60">
            <v>3699991</v>
          </cell>
        </row>
        <row r="61">
          <cell r="G61">
            <v>2832390</v>
          </cell>
        </row>
        <row r="62">
          <cell r="G62">
            <v>4100000</v>
          </cell>
        </row>
        <row r="65">
          <cell r="L65">
            <v>130500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ld Working"/>
      <sheetName val="For Pooran to billing"/>
      <sheetName val="Final Billing det as per Tally"/>
      <sheetName val="Billing detail req by Sir"/>
      <sheetName val="Project details"/>
    </sheetNames>
    <sheetDataSet>
      <sheetData sheetId="0" refreshError="1">
        <row r="9">
          <cell r="L9">
            <v>11020948</v>
          </cell>
        </row>
        <row r="13">
          <cell r="L13">
            <v>116800</v>
          </cell>
        </row>
        <row r="20">
          <cell r="L20">
            <v>2417065</v>
          </cell>
        </row>
        <row r="22">
          <cell r="L22">
            <v>3057405</v>
          </cell>
        </row>
        <row r="24">
          <cell r="L24">
            <v>651981.69999999995</v>
          </cell>
        </row>
        <row r="28">
          <cell r="L28">
            <v>10696818.5</v>
          </cell>
        </row>
        <row r="31">
          <cell r="L31">
            <v>1733520</v>
          </cell>
        </row>
        <row r="51">
          <cell r="L51">
            <v>23726011</v>
          </cell>
        </row>
        <row r="55">
          <cell r="L55">
            <v>907796</v>
          </cell>
        </row>
        <row r="59">
          <cell r="G59">
            <v>1126004</v>
          </cell>
        </row>
        <row r="60">
          <cell r="G60">
            <v>3699991</v>
          </cell>
        </row>
        <row r="61">
          <cell r="G61">
            <v>2832390</v>
          </cell>
        </row>
        <row r="62">
          <cell r="G62">
            <v>4100000</v>
          </cell>
        </row>
        <row r="65">
          <cell r="L65">
            <v>130500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bC1wpGdSEC7AUQ2rbUniAM2EVihVVjxS" TargetMode="External"/><Relationship Id="rId18" Type="http://schemas.openxmlformats.org/officeDocument/2006/relationships/hyperlink" Target="https://drive.google.com/open?id=1UlxvVlhPYWa_Y5jUB-be4JhflWG1zlWA" TargetMode="External"/><Relationship Id="rId26" Type="http://schemas.openxmlformats.org/officeDocument/2006/relationships/hyperlink" Target="https://drive.google.com/file/d/1B7T5PszsEz1RW6AJ0phMUkdGLVTpIwB5/view?usp=sharing" TargetMode="External"/><Relationship Id="rId39" Type="http://schemas.openxmlformats.org/officeDocument/2006/relationships/hyperlink" Target="https://drive.google.com/file/d/1oVK2YtmM_bs7D3bLwMoeUZez1fVSSJRt/view?usp=sharing" TargetMode="External"/><Relationship Id="rId21" Type="http://schemas.openxmlformats.org/officeDocument/2006/relationships/hyperlink" Target="https://docs.google.com/spreadsheets/u/0/d/1-Wn_w5u2c6nhVb2btoVWEIIHYB7s-zdO-pIj_0zVmSk/edit" TargetMode="External"/><Relationship Id="rId34" Type="http://schemas.openxmlformats.org/officeDocument/2006/relationships/hyperlink" Target="https://docs.google.com/spreadsheets/d/1f3cSeW8v6ZPBDW3ekSj3-JjXPz7CWjkJ/edit?usp=sharing&amp;ouid=105068206479309421369&amp;rtpof=true&amp;sd=true" TargetMode="External"/><Relationship Id="rId42" Type="http://schemas.openxmlformats.org/officeDocument/2006/relationships/hyperlink" Target="https://docs.google.com/spreadsheets/d/1DDpUKatyo77vCKHUT2Kg09wHfEdhAna7/edit?usp=drive_link&amp;ouid=105068206479309421369&amp;rtpof=true&amp;sd=true" TargetMode="External"/><Relationship Id="rId47" Type="http://schemas.openxmlformats.org/officeDocument/2006/relationships/hyperlink" Target="https://drive.google.com/file/d/1ZFZXrXMBg-Jn6LxpnAB7OF989Vdw8YQb/view?usp=sharing" TargetMode="External"/><Relationship Id="rId50" Type="http://schemas.openxmlformats.org/officeDocument/2006/relationships/hyperlink" Target="https://docs.google.com/spreadsheets/d/1n43QjhKn_jwM_Isdi1k_Mf_Fr1GqmWHwXR6R0_nfQKU/edit?gid=0" TargetMode="External"/><Relationship Id="rId55" Type="http://schemas.openxmlformats.org/officeDocument/2006/relationships/hyperlink" Target="https://drive.google.com/file/d/1yyMaEWpCMj2qrfv7DfZlYZFw_jZ9544R/view?usp=sharing" TargetMode="External"/><Relationship Id="rId63" Type="http://schemas.openxmlformats.org/officeDocument/2006/relationships/hyperlink" Target="https://docs.google.com/spreadsheets/d/1dcVA0kBYBDd2w4x-L4vAvIl8FmwND2hX/edit?usp=drive_link&amp;ouid=105068206479309421369&amp;rtpof=true&amp;sd=true" TargetMode="External"/><Relationship Id="rId7" Type="http://schemas.openxmlformats.org/officeDocument/2006/relationships/hyperlink" Target="https://drive.google.com/open?id=1y0pT-ZWUYY-4exxZP4XO3U3_7LDTiv7-" TargetMode="External"/><Relationship Id="rId2" Type="http://schemas.openxmlformats.org/officeDocument/2006/relationships/hyperlink" Target="https://docs.google.com/spreadsheets/u/0/d/1RxQQL8Nvl0qF7rZXOw_imE5Hp6QIk0JSrQSFooJi0b4/edit" TargetMode="External"/><Relationship Id="rId16" Type="http://schemas.openxmlformats.org/officeDocument/2006/relationships/hyperlink" Target="https://drive.google.com/open?id=1003OKHW37XpzdtcAnHqJuQ93MtqqiHZb" TargetMode="External"/><Relationship Id="rId29" Type="http://schemas.openxmlformats.org/officeDocument/2006/relationships/hyperlink" Target="https://docs.google.com/spreadsheets/u/0/d/1tF5ToRri5FKXUuQQmXocUtwfqEsWHDdB/edit" TargetMode="External"/><Relationship Id="rId11" Type="http://schemas.openxmlformats.org/officeDocument/2006/relationships/hyperlink" Target="https://drive.google.com/open?id=10xqVWp2AiinCx91VtszvkdsSOrk9XDhJ" TargetMode="External"/><Relationship Id="rId24" Type="http://schemas.openxmlformats.org/officeDocument/2006/relationships/hyperlink" Target="https://docs.google.com/spreadsheets/u/0/d/1LvYLvWV-DErV3ue9gzA9hXFJqrDaKG89iSvacI1ywm8/edit" TargetMode="External"/><Relationship Id="rId32" Type="http://schemas.openxmlformats.org/officeDocument/2006/relationships/hyperlink" Target="https://drive.google.com/file/d/1DKBGyvlgJEafWU0L3Uj_d2wZIgqZcZTH/view?usp=sharing" TargetMode="External"/><Relationship Id="rId37" Type="http://schemas.openxmlformats.org/officeDocument/2006/relationships/hyperlink" Target="https://drive.google.com/file/d/1YLuyqZE9yy6w-JjUgL2HzVaQPDm3J-fE/view?usp=sharing" TargetMode="External"/><Relationship Id="rId40" Type="http://schemas.openxmlformats.org/officeDocument/2006/relationships/hyperlink" Target="https://drive.google.com/file/d/1jfUgSdAf3DCHiwD0vtBTcmlUgFrTTXzj/view?usp=sharing" TargetMode="External"/><Relationship Id="rId45" Type="http://schemas.openxmlformats.org/officeDocument/2006/relationships/hyperlink" Target="https://drive.google.com/file/d/1H3eW0yS0jPOfwV_9oF9Dr97VXqj7BpSL/view?usp=sharing" TargetMode="External"/><Relationship Id="rId53" Type="http://schemas.openxmlformats.org/officeDocument/2006/relationships/hyperlink" Target="https://drive.google.com/file/d/1LQ8dPhmMoVfO6WZFKJTOnL69j8XbaGl6/view?usp=sharing" TargetMode="External"/><Relationship Id="rId58" Type="http://schemas.openxmlformats.org/officeDocument/2006/relationships/hyperlink" Target="https://drive.google.com/file/d/1nJUlzEOlU2W6p0jr9jF2SnCJRclzHH9Y/view?usp=drive_link" TargetMode="External"/><Relationship Id="rId5" Type="http://schemas.openxmlformats.org/officeDocument/2006/relationships/hyperlink" Target="https://drive.google.com/open?id=1mRoEhiQmS_eKlSYDkzwoW8OOhD2xQVsX" TargetMode="External"/><Relationship Id="rId61" Type="http://schemas.openxmlformats.org/officeDocument/2006/relationships/hyperlink" Target="https://docs.google.com/spreadsheets/d/1EQLWPsdCofsll0zjf-klxP3Pcl4CDaeR/edit?usp=drive_link&amp;ouid=105068206479309421369&amp;rtpof=true&amp;sd=true" TargetMode="External"/><Relationship Id="rId19" Type="http://schemas.openxmlformats.org/officeDocument/2006/relationships/hyperlink" Target="https://docs.google.com/spreadsheets/u/0/d/1js5zWVxL2pjGjL_xyrRzQhmKXY-TbZC6/edit" TargetMode="External"/><Relationship Id="rId14" Type="http://schemas.openxmlformats.org/officeDocument/2006/relationships/hyperlink" Target="https://docs.google.com/spreadsheets/u/0/d/1YOSqVqQ_I4ugF6VnXWg4w8a6CiDDuMr4/edit" TargetMode="External"/><Relationship Id="rId22" Type="http://schemas.openxmlformats.org/officeDocument/2006/relationships/hyperlink" Target="https://drive.google.com/file/d/1o9gfxWCd7lDLtHkmvJn9zYoouo8iBRJO/view?usp=sharing" TargetMode="External"/><Relationship Id="rId27" Type="http://schemas.openxmlformats.org/officeDocument/2006/relationships/hyperlink" Target="https://docs.google.com/spreadsheets/d/1xFrLvQIUV5gDc7GdWaEqOGVsTX532nWh/edit?gid=1686669138" TargetMode="External"/><Relationship Id="rId30" Type="http://schemas.openxmlformats.org/officeDocument/2006/relationships/hyperlink" Target="https://drive.google.com/file/d/1AtbQAjJePgv8r_z6yhfja1UBDkiEQ-pu/view?usp=sharing" TargetMode="External"/><Relationship Id="rId35" Type="http://schemas.openxmlformats.org/officeDocument/2006/relationships/hyperlink" Target="https://drive.google.com/file/d/1xchi04rBZ28RVS_fqqCz7yMG12CY-s9s/view?usp=sharing" TargetMode="External"/><Relationship Id="rId43" Type="http://schemas.openxmlformats.org/officeDocument/2006/relationships/hyperlink" Target="https://drive.google.com/file/d/1cxFjoyB6PQHCPvP-0aaNodIPqBkvHkaC/view?usp=drive_link" TargetMode="External"/><Relationship Id="rId48" Type="http://schemas.openxmlformats.org/officeDocument/2006/relationships/hyperlink" Target="https://docs.google.com/spreadsheets/d/1rHGC3ykJqxKJOjWEonvEcB1b3t717GsT/edit?usp=drive_link&amp;ouid=105068206479309421369&amp;rtpof=true&amp;sd=true" TargetMode="External"/><Relationship Id="rId56" Type="http://schemas.openxmlformats.org/officeDocument/2006/relationships/hyperlink" Target="https://drive.google.com/file/d/1Pn3CgjWFqYVOyeUt5SjANVwP-mnEaUKu/view?usp=sharing" TargetMode="External"/><Relationship Id="rId8" Type="http://schemas.openxmlformats.org/officeDocument/2006/relationships/hyperlink" Target="https://docs.google.com/spreadsheets/u/0/d/1ribWEXHkdHtsMc4dRrz20FyjW6DIbzpZ/edit" TargetMode="External"/><Relationship Id="rId51" Type="http://schemas.openxmlformats.org/officeDocument/2006/relationships/hyperlink" Target="https://drive.google.com/file/d/179UMlg-KIKxf-uzEW-6K5JchQLfoicci/view?usp=sharing" TargetMode="External"/><Relationship Id="rId3" Type="http://schemas.openxmlformats.org/officeDocument/2006/relationships/hyperlink" Target="https://drive.google.com/open?id=19VPaM7pQr0ye4P8PKxLbujYHHoiAziR3" TargetMode="External"/><Relationship Id="rId12" Type="http://schemas.openxmlformats.org/officeDocument/2006/relationships/hyperlink" Target="https://docs.google.com/spreadsheets/u/0/d/1nPylqyTT9FG8B4qPGDhQEMqyAn1Y8M_D/edit" TargetMode="External"/><Relationship Id="rId17" Type="http://schemas.openxmlformats.org/officeDocument/2006/relationships/hyperlink" Target="https://docs.google.com/spreadsheets/u/0/d/14iOpP8gDBDhFFhK9tAfFRyOb5PEUS75h/edit" TargetMode="External"/><Relationship Id="rId25" Type="http://schemas.openxmlformats.org/officeDocument/2006/relationships/hyperlink" Target="https://docs.google.com/spreadsheets/d/19ydwTFnzJ-pyAZKRx8H_sys_B9RytpYfDs8HsgrgdxY/edit?gid=1830412993" TargetMode="External"/><Relationship Id="rId33" Type="http://schemas.openxmlformats.org/officeDocument/2006/relationships/hyperlink" Target="https://drive.google.com/open?id=16Vu9TSYqEgRwmP1APUc-s7F-2dZyFUuS" TargetMode="External"/><Relationship Id="rId38" Type="http://schemas.openxmlformats.org/officeDocument/2006/relationships/hyperlink" Target="https://docs.google.com/spreadsheets/d/1rY6bfkiIadBA_JuEkzMwyh7_TcQy3xbF/edit?usp=drive_link&amp;ouid=105068206479309421369&amp;rtpof=true&amp;sd=true" TargetMode="External"/><Relationship Id="rId46" Type="http://schemas.openxmlformats.org/officeDocument/2006/relationships/hyperlink" Target="https://docs.google.com/spreadsheets/d/1D6yZT859xh-jj68qnfAFxtpM4oaROF6v/edit?usp=drive_link&amp;ouid=105068206479309421369&amp;rtpof=true&amp;sd=true" TargetMode="External"/><Relationship Id="rId59" Type="http://schemas.openxmlformats.org/officeDocument/2006/relationships/hyperlink" Target="https://docs.google.com/spreadsheets/d/1Mm1Qu6vkQftBtSWdC-DqJiKPegyCFkD7/edit?usp=sharing&amp;ouid=105068206479309421369&amp;rtpof=true&amp;sd=true" TargetMode="External"/><Relationship Id="rId20" Type="http://schemas.openxmlformats.org/officeDocument/2006/relationships/hyperlink" Target="https://drive.google.com/file/d/1UlxvVlhPYWa_Y5jUB-be4JhflWG1zlWA/view?usp=sharing" TargetMode="External"/><Relationship Id="rId41" Type="http://schemas.openxmlformats.org/officeDocument/2006/relationships/hyperlink" Target="https://drive.google.com/file/d/1OaTRfEDxbTeLilf7Syu6zO7onvqsbKVa/view?usp=sharing" TargetMode="External"/><Relationship Id="rId54" Type="http://schemas.openxmlformats.org/officeDocument/2006/relationships/hyperlink" Target="https://drive.google.com/file/d/1TC58cFMspjBbAzRShL4XHxBrdmyReWbq/view?usp=sharing" TargetMode="External"/><Relationship Id="rId62" Type="http://schemas.openxmlformats.org/officeDocument/2006/relationships/hyperlink" Target="https://drive.google.com/file/d/1TSv_N_c_xjfD8lmf2HcjP3lkSVkSSZRe/view?usp=sharing" TargetMode="External"/><Relationship Id="rId1" Type="http://schemas.openxmlformats.org/officeDocument/2006/relationships/hyperlink" Target="https://drive.google.com/open?id=1ijZMvhM5dghsz3oDsHevqnmNShUSDUgf" TargetMode="External"/><Relationship Id="rId6" Type="http://schemas.openxmlformats.org/officeDocument/2006/relationships/hyperlink" Target="https://docs.google.com/spreadsheets/u/0/d/1hSnmlBNLUT6oak1cCGVQhSh2-XtdpkuP/edit" TargetMode="External"/><Relationship Id="rId15" Type="http://schemas.openxmlformats.org/officeDocument/2006/relationships/hyperlink" Target="https://drive.google.com/open?id=1z0o-FxjpbuQkWq1JDlHKEkSnsAs18hlv" TargetMode="External"/><Relationship Id="rId23" Type="http://schemas.openxmlformats.org/officeDocument/2006/relationships/hyperlink" Target="https://drive.google.com/open?id=1ajTCqahtsgN4gJBl0ejHZxVrNQzNy0CD" TargetMode="External"/><Relationship Id="rId28" Type="http://schemas.openxmlformats.org/officeDocument/2006/relationships/hyperlink" Target="https://drive.google.com/open?id=1gcpviZjt1hn9tK2MCoPBGsYGwKqVndOO" TargetMode="External"/><Relationship Id="rId36" Type="http://schemas.openxmlformats.org/officeDocument/2006/relationships/hyperlink" Target="https://drive.google.com/file/d/1QI4hD3CHY_kzVUAU333iewlc73Jx28Db/view?usp=sharing" TargetMode="External"/><Relationship Id="rId49" Type="http://schemas.openxmlformats.org/officeDocument/2006/relationships/hyperlink" Target="https://drive.google.com/file/d/1hIDVkR7hEdQCjENrhuBfj4DuwOYT-cPQ/view?usp=drive_link" TargetMode="External"/><Relationship Id="rId57" Type="http://schemas.openxmlformats.org/officeDocument/2006/relationships/hyperlink" Target="https://docs.google.com/spreadsheets/d/1-2CB-A20ru5Gx1CgdvdZNp-I08_najGc/edit?usp=drive_link&amp;ouid=105068206479309421369&amp;rtpof=true&amp;sd=true" TargetMode="External"/><Relationship Id="rId10" Type="http://schemas.openxmlformats.org/officeDocument/2006/relationships/hyperlink" Target="https://docs.google.com/spreadsheets/u/0/d/1XV7oYlIBnr_b7pVQadt1PFO2kMvAI15A/edit" TargetMode="External"/><Relationship Id="rId31" Type="http://schemas.openxmlformats.org/officeDocument/2006/relationships/hyperlink" Target="https://drive.google.com/file/d/1DKBGyvlgJEafWU0L3Uj_d2wZIgqZcZTH/view?usp=sharing" TargetMode="External"/><Relationship Id="rId44" Type="http://schemas.openxmlformats.org/officeDocument/2006/relationships/hyperlink" Target="https://docs.google.com/spreadsheets/d/1kaUoaFWdtMI7QYMxp3Ybx6KLHQv-E_tfX6aqaK0INSc/edit?usp=drive_link" TargetMode="External"/><Relationship Id="rId52" Type="http://schemas.openxmlformats.org/officeDocument/2006/relationships/hyperlink" Target="https://docs.google.com/spreadsheets/d/1n43QjhKn_jwM_Isdi1k_Mf_Fr1GqmWHwXR6R0_nfQKU/edit?gid=0" TargetMode="External"/><Relationship Id="rId60" Type="http://schemas.openxmlformats.org/officeDocument/2006/relationships/hyperlink" Target="https://drive.google.com/file/d/1ZtOdvny9pA_SfX29FpE5ljhQBouOncee/view?usp=drive_link" TargetMode="External"/><Relationship Id="rId4" Type="http://schemas.openxmlformats.org/officeDocument/2006/relationships/hyperlink" Target="https://docs.google.com/spreadsheets/u/0/d/1YEVWavPwjoQg7FEXiadziDATTQa0TGus/edit" TargetMode="External"/><Relationship Id="rId9" Type="http://schemas.openxmlformats.org/officeDocument/2006/relationships/hyperlink" Target="https://drive.google.com/open?id=15HEcEKCp6paemFJwsOsbNWTmh2LugdOz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selection activeCell="C10" activeCellId="1" sqref="F5 C10"/>
    </sheetView>
  </sheetViews>
  <sheetFormatPr defaultRowHeight="14.5"/>
  <cols>
    <col min="2" max="2" width="27.6328125" customWidth="1"/>
    <col min="3" max="3" width="18.81640625" customWidth="1"/>
    <col min="4" max="4" width="24.81640625" customWidth="1"/>
    <col min="5" max="5" width="15.453125" customWidth="1"/>
    <col min="6" max="6" width="19.08984375" customWidth="1"/>
    <col min="7" max="7" width="24.6328125" customWidth="1"/>
    <col min="8" max="8" width="17.81640625" customWidth="1"/>
    <col min="9" max="9" width="12.36328125" customWidth="1"/>
    <col min="10" max="10" width="26.81640625" customWidth="1"/>
    <col min="11" max="11" width="30.17968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6">
        <v>73000000</v>
      </c>
      <c r="G2" s="7">
        <v>47072121.5</v>
      </c>
      <c r="H2" s="8">
        <f>F2-G2</f>
        <v>25927878.5</v>
      </c>
      <c r="I2" s="9">
        <v>44708</v>
      </c>
      <c r="J2" s="10" t="str">
        <f>'[1]Copy of Tracking Sheet '!H2</f>
        <v>3 years, 7 months, 9 days</v>
      </c>
      <c r="K2" s="11" t="s">
        <v>15</v>
      </c>
    </row>
    <row r="3" spans="1:11">
      <c r="A3" s="4">
        <v>2</v>
      </c>
      <c r="B3" s="10" t="s">
        <v>16</v>
      </c>
      <c r="C3" s="12" t="s">
        <v>17</v>
      </c>
      <c r="D3" s="12" t="s">
        <v>18</v>
      </c>
      <c r="E3" s="10" t="s">
        <v>14</v>
      </c>
      <c r="F3" s="6">
        <v>8250965</v>
      </c>
      <c r="G3" s="13">
        <v>2317975</v>
      </c>
      <c r="H3" s="8">
        <f t="shared" ref="H3:H25" si="0">F3-G3</f>
        <v>5932990</v>
      </c>
      <c r="I3" s="9">
        <v>45311</v>
      </c>
      <c r="J3" s="10" t="str">
        <f>'[1]Copy of Tracking Sheet '!H3</f>
        <v>1 years, 11 months, 13 days</v>
      </c>
      <c r="K3" s="14" t="s">
        <v>19</v>
      </c>
    </row>
    <row r="4" spans="1:11">
      <c r="A4" s="4">
        <v>3</v>
      </c>
      <c r="B4" s="15" t="s">
        <v>20</v>
      </c>
      <c r="C4" s="15" t="s">
        <v>21</v>
      </c>
      <c r="D4" s="5" t="s">
        <v>22</v>
      </c>
      <c r="E4" s="15" t="s">
        <v>14</v>
      </c>
      <c r="F4" s="17" t="s">
        <v>23</v>
      </c>
      <c r="G4" s="18" t="s">
        <v>24</v>
      </c>
      <c r="H4" s="19">
        <v>0</v>
      </c>
      <c r="I4" s="15">
        <v>0</v>
      </c>
      <c r="J4" s="15">
        <f>'[1]Copy of Tracking Sheet '!H4</f>
        <v>0</v>
      </c>
      <c r="K4" s="20" t="s">
        <v>25</v>
      </c>
    </row>
    <row r="5" spans="1:11">
      <c r="A5" s="4">
        <v>4</v>
      </c>
      <c r="B5" s="10" t="s">
        <v>26</v>
      </c>
      <c r="C5" s="12" t="s">
        <v>27</v>
      </c>
      <c r="D5" s="12" t="s">
        <v>28</v>
      </c>
      <c r="E5" s="10" t="s">
        <v>14</v>
      </c>
      <c r="F5" s="6">
        <v>480000</v>
      </c>
      <c r="G5" s="13">
        <v>363200</v>
      </c>
      <c r="H5" s="8">
        <f t="shared" si="0"/>
        <v>116800</v>
      </c>
      <c r="I5" s="9">
        <v>45379</v>
      </c>
      <c r="J5" s="10" t="str">
        <f>'[1]Copy of Tracking Sheet '!H5</f>
        <v>1 years, 9 months, 5 days</v>
      </c>
      <c r="K5" s="14" t="s">
        <v>29</v>
      </c>
    </row>
    <row r="6" spans="1:11">
      <c r="A6" s="4">
        <v>5</v>
      </c>
      <c r="B6" s="21" t="s">
        <v>30</v>
      </c>
      <c r="C6" s="16" t="s">
        <v>31</v>
      </c>
      <c r="D6" s="16" t="s">
        <v>32</v>
      </c>
      <c r="E6" s="21" t="s">
        <v>14</v>
      </c>
      <c r="F6" s="6">
        <v>12281602</v>
      </c>
      <c r="G6" s="22">
        <v>1702120</v>
      </c>
      <c r="H6" s="8">
        <f t="shared" si="0"/>
        <v>10579482</v>
      </c>
      <c r="I6" s="9">
        <v>45435</v>
      </c>
      <c r="J6" s="10" t="str">
        <f>'[1]Copy of Tracking Sheet '!H6</f>
        <v>1 years, 7 months, 10 days</v>
      </c>
      <c r="K6" s="23" t="s">
        <v>33</v>
      </c>
    </row>
    <row r="7" spans="1:11">
      <c r="A7" s="4">
        <v>6</v>
      </c>
      <c r="B7" s="10" t="s">
        <v>34</v>
      </c>
      <c r="C7" s="12" t="s">
        <v>27</v>
      </c>
      <c r="D7" s="12" t="s">
        <v>35</v>
      </c>
      <c r="E7" s="10" t="s">
        <v>14</v>
      </c>
      <c r="F7" s="6">
        <v>2468800</v>
      </c>
      <c r="G7" s="13">
        <v>1520960</v>
      </c>
      <c r="H7" s="8">
        <f t="shared" si="0"/>
        <v>947840</v>
      </c>
      <c r="I7" s="9">
        <v>45492</v>
      </c>
      <c r="J7" s="10" t="str">
        <f>'[1]Copy of Tracking Sheet '!H7</f>
        <v>1 years, 5 months, 14 days</v>
      </c>
      <c r="K7" s="14" t="s">
        <v>29</v>
      </c>
    </row>
    <row r="8" spans="1:11">
      <c r="A8" s="4">
        <v>7</v>
      </c>
      <c r="B8" s="10" t="s">
        <v>36</v>
      </c>
      <c r="C8" s="12" t="s">
        <v>27</v>
      </c>
      <c r="D8" s="12" t="s">
        <v>37</v>
      </c>
      <c r="E8" s="10" t="s">
        <v>14</v>
      </c>
      <c r="F8" s="6">
        <v>11734161</v>
      </c>
      <c r="G8" s="13">
        <v>2063038</v>
      </c>
      <c r="H8" s="8">
        <f t="shared" si="0"/>
        <v>9671123</v>
      </c>
      <c r="I8" s="9">
        <v>45489</v>
      </c>
      <c r="J8" s="10" t="str">
        <f>'[1]Copy of Tracking Sheet '!H8</f>
        <v>1 years, 5 months, 17 days</v>
      </c>
      <c r="K8" s="14" t="s">
        <v>29</v>
      </c>
    </row>
    <row r="9" spans="1:11">
      <c r="A9" s="4">
        <v>9</v>
      </c>
      <c r="B9" s="10" t="s">
        <v>38</v>
      </c>
      <c r="C9" s="12" t="s">
        <v>39</v>
      </c>
      <c r="D9" s="12" t="s">
        <v>40</v>
      </c>
      <c r="E9" s="10" t="s">
        <v>14</v>
      </c>
      <c r="F9" s="6">
        <v>6925030</v>
      </c>
      <c r="G9" s="13">
        <v>6100020</v>
      </c>
      <c r="H9" s="8">
        <f t="shared" si="0"/>
        <v>825010</v>
      </c>
      <c r="I9" s="9">
        <v>45489</v>
      </c>
      <c r="J9" s="10" t="str">
        <f>'[1]Copy of Tracking Sheet '!H10</f>
        <v>1 years, 5 months, 17 days</v>
      </c>
      <c r="K9" s="14" t="s">
        <v>19</v>
      </c>
    </row>
    <row r="10" spans="1:11">
      <c r="A10" s="4">
        <v>10</v>
      </c>
      <c r="B10" s="25" t="s">
        <v>41</v>
      </c>
      <c r="C10" s="26" t="s">
        <v>42</v>
      </c>
      <c r="D10" s="16" t="s">
        <v>43</v>
      </c>
      <c r="E10" s="21" t="s">
        <v>14</v>
      </c>
      <c r="F10" s="6">
        <v>6100585</v>
      </c>
      <c r="G10" s="22">
        <v>5874560</v>
      </c>
      <c r="H10" s="8">
        <f t="shared" si="0"/>
        <v>226025</v>
      </c>
      <c r="I10" s="9">
        <v>45476</v>
      </c>
      <c r="J10" s="10">
        <f>'[1]Copy of Tracking Sheet '!H11</f>
        <v>0</v>
      </c>
      <c r="K10" s="23" t="s">
        <v>44</v>
      </c>
    </row>
    <row r="11" spans="1:11">
      <c r="A11" s="4">
        <v>11</v>
      </c>
      <c r="B11" s="25" t="s">
        <v>41</v>
      </c>
      <c r="C11" s="12" t="s">
        <v>45</v>
      </c>
      <c r="D11" s="24" t="s">
        <v>22</v>
      </c>
      <c r="E11" s="21" t="s">
        <v>14</v>
      </c>
      <c r="F11" s="6">
        <v>6350710</v>
      </c>
      <c r="G11" s="22">
        <v>4403434</v>
      </c>
      <c r="H11" s="8">
        <f t="shared" si="0"/>
        <v>1947276</v>
      </c>
      <c r="I11" s="9">
        <v>45614</v>
      </c>
      <c r="J11" s="10" t="str">
        <f>'[1]Copy of Tracking Sheet '!H12</f>
        <v>1 years, 1 months, 15 days</v>
      </c>
      <c r="K11" s="23" t="s">
        <v>44</v>
      </c>
    </row>
    <row r="12" spans="1:11">
      <c r="A12" s="4">
        <v>12</v>
      </c>
      <c r="B12" s="10" t="s">
        <v>46</v>
      </c>
      <c r="C12" s="12" t="s">
        <v>47</v>
      </c>
      <c r="D12" s="27" t="s">
        <v>22</v>
      </c>
      <c r="E12" s="10" t="s">
        <v>14</v>
      </c>
      <c r="F12" s="6">
        <v>3114148</v>
      </c>
      <c r="G12" s="13">
        <v>1991665</v>
      </c>
      <c r="H12" s="8">
        <f t="shared" si="0"/>
        <v>1122483</v>
      </c>
      <c r="I12" s="9">
        <v>45635</v>
      </c>
      <c r="J12" s="10" t="str">
        <f>'[1]Copy of Tracking Sheet '!H13</f>
        <v>1 years, 0 months, 24 days</v>
      </c>
      <c r="K12" s="14" t="s">
        <v>33</v>
      </c>
    </row>
    <row r="13" spans="1:11">
      <c r="A13" s="4">
        <v>13</v>
      </c>
      <c r="B13" s="21" t="s">
        <v>48</v>
      </c>
      <c r="C13" s="16" t="s">
        <v>49</v>
      </c>
      <c r="D13" s="26" t="s">
        <v>50</v>
      </c>
      <c r="E13" s="28" t="s">
        <v>14</v>
      </c>
      <c r="F13" s="6">
        <v>31196662</v>
      </c>
      <c r="G13" s="29">
        <v>13194688</v>
      </c>
      <c r="H13" s="8">
        <f t="shared" si="0"/>
        <v>18001974</v>
      </c>
      <c r="I13" s="9">
        <v>45630</v>
      </c>
      <c r="J13" s="10" t="str">
        <f>'[1]Copy of Tracking Sheet '!H14</f>
        <v>1 years, 0 months, 29 days</v>
      </c>
      <c r="K13" s="30" t="s">
        <v>51</v>
      </c>
    </row>
    <row r="14" spans="1:11">
      <c r="A14" s="4">
        <v>14</v>
      </c>
      <c r="B14" s="21" t="s">
        <v>52</v>
      </c>
      <c r="C14" s="16" t="s">
        <v>49</v>
      </c>
      <c r="D14" s="21" t="s">
        <v>53</v>
      </c>
      <c r="E14" s="21" t="s">
        <v>14</v>
      </c>
      <c r="F14" s="6">
        <v>8005040</v>
      </c>
      <c r="G14" s="22">
        <v>6949152</v>
      </c>
      <c r="H14" s="8">
        <f t="shared" si="0"/>
        <v>1055888</v>
      </c>
      <c r="I14" s="9">
        <v>45789</v>
      </c>
      <c r="J14" s="10" t="str">
        <f>'[1]Copy of Tracking Sheet '!H15</f>
        <v>0 years, 7 months, 21 days</v>
      </c>
      <c r="K14" s="23" t="s">
        <v>51</v>
      </c>
    </row>
    <row r="15" spans="1:11">
      <c r="A15" s="4">
        <v>15</v>
      </c>
      <c r="B15" s="31" t="s">
        <v>54</v>
      </c>
      <c r="C15" s="12" t="s">
        <v>55</v>
      </c>
      <c r="D15" s="12" t="s">
        <v>56</v>
      </c>
      <c r="E15" s="33" t="s">
        <v>14</v>
      </c>
      <c r="F15" s="6">
        <v>907796</v>
      </c>
      <c r="G15" s="34">
        <v>761325</v>
      </c>
      <c r="H15" s="8">
        <f t="shared" si="0"/>
        <v>146471</v>
      </c>
      <c r="I15" s="9" t="s">
        <v>57</v>
      </c>
      <c r="J15" s="10" t="str">
        <f>'[1]Copy of Tracking Sheet '!H16</f>
        <v>0 years, 8 months, 17 days</v>
      </c>
      <c r="K15" s="14" t="s">
        <v>58</v>
      </c>
    </row>
    <row r="16" spans="1:11">
      <c r="A16" s="4">
        <v>16</v>
      </c>
      <c r="B16" s="10" t="s">
        <v>59</v>
      </c>
      <c r="C16" s="12" t="s">
        <v>60</v>
      </c>
      <c r="D16" s="12" t="s">
        <v>61</v>
      </c>
      <c r="E16" s="10" t="s">
        <v>14</v>
      </c>
      <c r="F16" s="6">
        <v>10788650</v>
      </c>
      <c r="G16" s="13">
        <v>4671318</v>
      </c>
      <c r="H16" s="8">
        <f t="shared" si="0"/>
        <v>6117332</v>
      </c>
      <c r="I16" s="9">
        <v>45734</v>
      </c>
      <c r="J16" s="10" t="str">
        <f>'[1]Copy of Tracking Sheet '!H17</f>
        <v>0 years, 9 months, 15 days</v>
      </c>
      <c r="K16" s="14" t="s">
        <v>62</v>
      </c>
    </row>
    <row r="17" spans="1:11">
      <c r="A17" s="4">
        <v>17</v>
      </c>
      <c r="B17" s="10" t="s">
        <v>63</v>
      </c>
      <c r="C17" s="12" t="s">
        <v>27</v>
      </c>
      <c r="D17" s="32" t="s">
        <v>64</v>
      </c>
      <c r="E17" s="36" t="s">
        <v>14</v>
      </c>
      <c r="F17" s="6">
        <v>2832390</v>
      </c>
      <c r="G17" s="13">
        <v>382627</v>
      </c>
      <c r="H17" s="8">
        <f t="shared" si="0"/>
        <v>2449763</v>
      </c>
      <c r="I17" s="9">
        <v>45679</v>
      </c>
      <c r="J17" s="10" t="str">
        <f>'[1]Copy of Tracking Sheet '!H18</f>
        <v>0 years, 11 months, 11 days</v>
      </c>
      <c r="K17" s="14" t="s">
        <v>65</v>
      </c>
    </row>
    <row r="18" spans="1:11">
      <c r="A18" s="4">
        <v>18</v>
      </c>
      <c r="B18" s="10" t="s">
        <v>66</v>
      </c>
      <c r="C18" s="12" t="s">
        <v>27</v>
      </c>
      <c r="D18" s="35" t="s">
        <v>67</v>
      </c>
      <c r="E18" s="36" t="s">
        <v>14</v>
      </c>
      <c r="F18" s="6">
        <v>1126004</v>
      </c>
      <c r="G18" s="13">
        <v>114450</v>
      </c>
      <c r="H18" s="8">
        <f t="shared" si="0"/>
        <v>1011554</v>
      </c>
      <c r="I18" s="9">
        <v>45677</v>
      </c>
      <c r="J18" s="10" t="str">
        <f>'[1]Copy of Tracking Sheet '!H19</f>
        <v>0 years, 11 months, 13 days</v>
      </c>
      <c r="K18" s="14"/>
    </row>
    <row r="19" spans="1:11">
      <c r="A19" s="4">
        <v>19</v>
      </c>
      <c r="B19" s="10" t="s">
        <v>68</v>
      </c>
      <c r="C19" s="12" t="s">
        <v>27</v>
      </c>
      <c r="D19" s="12" t="s">
        <v>69</v>
      </c>
      <c r="E19" s="36" t="s">
        <v>14</v>
      </c>
      <c r="F19" s="6">
        <v>4100000</v>
      </c>
      <c r="G19" s="13">
        <v>435313</v>
      </c>
      <c r="H19" s="8">
        <f t="shared" si="0"/>
        <v>3664687</v>
      </c>
      <c r="I19" s="9">
        <v>45712</v>
      </c>
      <c r="J19" s="10" t="str">
        <f>'[1]Copy of Tracking Sheet '!H20</f>
        <v>0 years, 10 months, 19 days</v>
      </c>
      <c r="K19" s="14"/>
    </row>
    <row r="20" spans="1:11">
      <c r="A20" s="4">
        <v>20</v>
      </c>
      <c r="B20" s="10" t="s">
        <v>70</v>
      </c>
      <c r="C20" s="12" t="s">
        <v>71</v>
      </c>
      <c r="D20" s="12" t="s">
        <v>72</v>
      </c>
      <c r="E20" s="36" t="s">
        <v>14</v>
      </c>
      <c r="F20" s="6">
        <v>3699991</v>
      </c>
      <c r="G20" s="13">
        <v>267050</v>
      </c>
      <c r="H20" s="8">
        <f t="shared" si="0"/>
        <v>3432941</v>
      </c>
      <c r="I20" s="9">
        <v>45677</v>
      </c>
      <c r="J20" s="10" t="str">
        <f>'[1]Copy of Tracking Sheet '!H21</f>
        <v>0 years, 11 months, 13 days</v>
      </c>
      <c r="K20" s="14" t="s">
        <v>65</v>
      </c>
    </row>
    <row r="21" spans="1:11">
      <c r="A21" s="4">
        <v>21</v>
      </c>
      <c r="B21" s="10" t="s">
        <v>73</v>
      </c>
      <c r="C21" s="12" t="s">
        <v>74</v>
      </c>
      <c r="D21" s="24" t="s">
        <v>22</v>
      </c>
      <c r="E21" s="36" t="s">
        <v>14</v>
      </c>
      <c r="F21" s="6">
        <v>5247334</v>
      </c>
      <c r="G21" s="13">
        <v>3592424</v>
      </c>
      <c r="H21" s="8">
        <f t="shared" si="0"/>
        <v>1654910</v>
      </c>
      <c r="I21" s="9">
        <v>45720</v>
      </c>
      <c r="J21" s="10" t="str">
        <f>'[1]Copy of Tracking Sheet '!H22</f>
        <v>0 years, 9 months, 29 days</v>
      </c>
      <c r="K21" s="14" t="s">
        <v>75</v>
      </c>
    </row>
    <row r="22" spans="1:11">
      <c r="A22" s="4">
        <v>22</v>
      </c>
      <c r="B22" s="10" t="s">
        <v>73</v>
      </c>
      <c r="C22" s="12" t="s">
        <v>76</v>
      </c>
      <c r="D22" s="10" t="s">
        <v>77</v>
      </c>
      <c r="E22" s="36" t="s">
        <v>14</v>
      </c>
      <c r="F22" s="6">
        <v>5232900</v>
      </c>
      <c r="G22" s="13">
        <v>4179540</v>
      </c>
      <c r="H22" s="8">
        <f t="shared" si="0"/>
        <v>1053360</v>
      </c>
      <c r="I22" s="9">
        <v>45758</v>
      </c>
      <c r="J22" s="10" t="str">
        <f>'[1]Copy of Tracking Sheet '!H23</f>
        <v>0 years, 8 months, 22 days</v>
      </c>
      <c r="K22" s="14" t="s">
        <v>65</v>
      </c>
    </row>
    <row r="23" spans="1:11">
      <c r="A23" s="4">
        <v>23</v>
      </c>
      <c r="B23" s="10" t="s">
        <v>78</v>
      </c>
      <c r="C23" s="32" t="s">
        <v>79</v>
      </c>
      <c r="D23" s="12" t="s">
        <v>50</v>
      </c>
      <c r="E23" s="10" t="s">
        <v>14</v>
      </c>
      <c r="F23" s="6">
        <v>2728200</v>
      </c>
      <c r="G23" s="13">
        <v>1077501</v>
      </c>
      <c r="H23" s="8">
        <f>G19</f>
        <v>435313</v>
      </c>
      <c r="I23" s="9">
        <v>45736</v>
      </c>
      <c r="J23" s="10" t="str">
        <f>'[1]Copy of Tracking Sheet '!H24</f>
        <v>0 years, 9 months, 13 days</v>
      </c>
      <c r="K23" s="14" t="s">
        <v>80</v>
      </c>
    </row>
    <row r="24" spans="1:11">
      <c r="A24" s="4">
        <v>24</v>
      </c>
      <c r="B24" s="10" t="s">
        <v>81</v>
      </c>
      <c r="C24" s="12" t="s">
        <v>82</v>
      </c>
      <c r="D24" s="10" t="s">
        <v>50</v>
      </c>
      <c r="E24" s="10" t="s">
        <v>14</v>
      </c>
      <c r="F24" s="6">
        <v>639823</v>
      </c>
      <c r="G24" s="13">
        <v>639827</v>
      </c>
      <c r="H24" s="8">
        <f t="shared" si="0"/>
        <v>-4</v>
      </c>
      <c r="I24" s="9" t="s">
        <v>83</v>
      </c>
      <c r="J24" s="10" t="str">
        <f>'[1]Copy of Tracking Sheet '!H25</f>
        <v>0 years, 4 months, 12 days</v>
      </c>
      <c r="K24" s="14" t="s">
        <v>80</v>
      </c>
    </row>
    <row r="25" spans="1:11">
      <c r="A25" s="4">
        <v>25</v>
      </c>
      <c r="B25" s="10" t="s">
        <v>84</v>
      </c>
      <c r="C25" s="12" t="s">
        <v>85</v>
      </c>
      <c r="D25" s="24" t="s">
        <v>22</v>
      </c>
      <c r="E25" s="10" t="s">
        <v>86</v>
      </c>
      <c r="F25" s="6">
        <v>7400000</v>
      </c>
      <c r="G25" s="13">
        <v>1816482</v>
      </c>
      <c r="H25" s="8">
        <f t="shared" si="0"/>
        <v>5583518</v>
      </c>
      <c r="I25" s="9" t="s">
        <v>87</v>
      </c>
      <c r="J25" s="10" t="str">
        <f>'[1]Copy of Tracking Sheet '!H26</f>
        <v>0 years, 5 months, 19 days</v>
      </c>
      <c r="K25" s="14" t="s">
        <v>75</v>
      </c>
    </row>
    <row r="26" spans="1:11">
      <c r="A26" s="4">
        <v>26</v>
      </c>
      <c r="B26" s="36" t="s">
        <v>88</v>
      </c>
      <c r="C26" s="12" t="s">
        <v>27</v>
      </c>
      <c r="D26" s="12" t="s">
        <v>35</v>
      </c>
      <c r="E26" s="10" t="s">
        <v>14</v>
      </c>
      <c r="F26" s="6">
        <v>10389046</v>
      </c>
      <c r="G26" s="13">
        <v>7625072</v>
      </c>
      <c r="H26" s="37">
        <v>2763974</v>
      </c>
      <c r="I26" s="9">
        <v>45664</v>
      </c>
      <c r="J26" s="10" t="str">
        <f>'[1]Copy of Tracking Sheet '!H27</f>
        <v>0 years, 11 months, 26 days</v>
      </c>
      <c r="K26" s="14" t="s">
        <v>65</v>
      </c>
    </row>
    <row r="27" spans="1:11">
      <c r="A27" s="4">
        <v>27</v>
      </c>
      <c r="B27" s="36" t="s">
        <v>88</v>
      </c>
      <c r="C27" s="12" t="s">
        <v>27</v>
      </c>
      <c r="D27" s="33" t="s">
        <v>50</v>
      </c>
      <c r="E27" s="10" t="s">
        <v>86</v>
      </c>
      <c r="F27" s="38">
        <v>10389046</v>
      </c>
      <c r="G27" s="13">
        <v>0</v>
      </c>
      <c r="H27" s="37">
        <v>0</v>
      </c>
      <c r="I27" s="9">
        <v>45943</v>
      </c>
      <c r="J27" s="10" t="str">
        <f>'[1]Copy of Tracking Sheet '!H28</f>
        <v>0 years, 2 months, 20 days</v>
      </c>
      <c r="K27" s="14"/>
    </row>
    <row r="28" spans="1:11">
      <c r="A28" s="4">
        <v>28</v>
      </c>
      <c r="B28" s="10" t="s">
        <v>89</v>
      </c>
      <c r="C28" s="12" t="s">
        <v>27</v>
      </c>
      <c r="D28" s="12" t="s">
        <v>67</v>
      </c>
      <c r="E28" s="10" t="s">
        <v>86</v>
      </c>
      <c r="F28" s="6">
        <v>360000</v>
      </c>
      <c r="G28" s="13">
        <v>0</v>
      </c>
      <c r="H28" s="39">
        <v>0</v>
      </c>
      <c r="I28" s="9">
        <v>45877</v>
      </c>
      <c r="J28" s="10" t="str">
        <f>'[1]Copy of Tracking Sheet '!H29</f>
        <v>0 years, 4 months, 25 days</v>
      </c>
      <c r="K28" s="14" t="s">
        <v>65</v>
      </c>
    </row>
    <row r="29" spans="1:11">
      <c r="A29" s="4">
        <v>29</v>
      </c>
      <c r="B29" s="10" t="s">
        <v>90</v>
      </c>
      <c r="C29" s="12" t="s">
        <v>27</v>
      </c>
      <c r="D29" s="12" t="s">
        <v>50</v>
      </c>
      <c r="E29" s="10" t="s">
        <v>14</v>
      </c>
      <c r="F29" s="6">
        <v>922583</v>
      </c>
      <c r="G29" s="13">
        <v>621833</v>
      </c>
      <c r="H29" s="39">
        <v>0</v>
      </c>
      <c r="I29" s="9">
        <v>45741</v>
      </c>
      <c r="J29" s="10" t="str">
        <f>'[1]Copy of Tracking Sheet '!H30</f>
        <v>0 years, 9 months, 8 days</v>
      </c>
      <c r="K29" s="14" t="s">
        <v>80</v>
      </c>
    </row>
    <row r="30" spans="1:11">
      <c r="A30" s="4">
        <v>30</v>
      </c>
      <c r="B30" s="36" t="s">
        <v>91</v>
      </c>
      <c r="C30" s="33" t="s">
        <v>92</v>
      </c>
      <c r="D30" s="33" t="s">
        <v>50</v>
      </c>
      <c r="E30" s="36" t="s">
        <v>14</v>
      </c>
      <c r="F30" s="6">
        <v>78530</v>
      </c>
      <c r="G30" s="13">
        <v>0</v>
      </c>
      <c r="H30" s="39">
        <v>0</v>
      </c>
      <c r="I30" s="9"/>
      <c r="J30" s="10">
        <f>'[1]Copy of Tracking Sheet '!H31</f>
        <v>0</v>
      </c>
      <c r="K30" s="14"/>
    </row>
    <row r="31" spans="1:11">
      <c r="A31" s="4">
        <v>31</v>
      </c>
      <c r="B31" s="36" t="s">
        <v>93</v>
      </c>
      <c r="C31" s="33" t="s">
        <v>92</v>
      </c>
      <c r="D31" s="33" t="s">
        <v>50</v>
      </c>
      <c r="E31" s="36" t="s">
        <v>14</v>
      </c>
      <c r="F31" s="6">
        <v>450455</v>
      </c>
      <c r="G31" s="13">
        <v>427155</v>
      </c>
      <c r="H31" s="39">
        <v>0</v>
      </c>
      <c r="I31" s="9"/>
      <c r="J31" s="10">
        <f>'[1]Copy of Tracking Sheet '!H32</f>
        <v>0</v>
      </c>
      <c r="K31" s="14"/>
    </row>
    <row r="32" spans="1:11">
      <c r="A32" s="4">
        <v>32</v>
      </c>
      <c r="B32" s="40" t="s">
        <v>94</v>
      </c>
      <c r="C32" s="33" t="s">
        <v>92</v>
      </c>
      <c r="D32" s="10" t="s">
        <v>50</v>
      </c>
      <c r="E32" s="36" t="s">
        <v>14</v>
      </c>
      <c r="F32" s="38">
        <v>248525</v>
      </c>
      <c r="G32" s="37">
        <v>2126556</v>
      </c>
      <c r="H32" s="39">
        <v>0</v>
      </c>
      <c r="I32" s="9"/>
      <c r="J32" s="10">
        <f>'[1]Copy of Tracking Sheet '!H33</f>
        <v>0</v>
      </c>
      <c r="K32" s="14"/>
    </row>
    <row r="33" spans="1:11">
      <c r="A33" s="4">
        <v>33</v>
      </c>
      <c r="B33" s="10" t="s">
        <v>95</v>
      </c>
      <c r="C33" s="33" t="s">
        <v>96</v>
      </c>
      <c r="D33" s="10" t="s">
        <v>50</v>
      </c>
      <c r="E33" s="10" t="s">
        <v>86</v>
      </c>
      <c r="F33" s="38">
        <v>737756</v>
      </c>
      <c r="G33" s="39">
        <v>0</v>
      </c>
      <c r="H33" s="39">
        <v>0</v>
      </c>
      <c r="I33" s="9">
        <v>45725</v>
      </c>
      <c r="J33" s="10" t="str">
        <f>'[1]Copy of Tracking Sheet '!H34</f>
        <v>0 years, 9 months, 24 days</v>
      </c>
      <c r="K33" s="14"/>
    </row>
    <row r="34" spans="1:11">
      <c r="A34" s="4">
        <v>34</v>
      </c>
      <c r="B34" s="10" t="s">
        <v>97</v>
      </c>
      <c r="C34" s="33" t="s">
        <v>96</v>
      </c>
      <c r="D34" s="33" t="s">
        <v>50</v>
      </c>
      <c r="E34" s="10" t="s">
        <v>86</v>
      </c>
      <c r="F34" s="6">
        <v>1694224</v>
      </c>
      <c r="G34" s="39">
        <v>0</v>
      </c>
      <c r="H34" s="39">
        <v>0</v>
      </c>
      <c r="I34" s="9">
        <v>45922</v>
      </c>
      <c r="J34" s="10" t="str">
        <f>'[1]Copy of Tracking Sheet '!H37</f>
        <v>0 years, 3 months, 11 days</v>
      </c>
      <c r="K34" s="14"/>
    </row>
    <row r="35" spans="1:11">
      <c r="A35" s="4">
        <v>35</v>
      </c>
      <c r="B35" s="10" t="s">
        <v>98</v>
      </c>
      <c r="C35" s="33" t="s">
        <v>96</v>
      </c>
      <c r="D35" s="33" t="s">
        <v>50</v>
      </c>
      <c r="E35" s="10" t="s">
        <v>86</v>
      </c>
      <c r="F35" s="38">
        <v>289083</v>
      </c>
      <c r="G35" s="39">
        <v>0</v>
      </c>
      <c r="H35" s="39">
        <v>0</v>
      </c>
      <c r="I35" s="9">
        <v>45922</v>
      </c>
      <c r="J35" s="10" t="str">
        <f>'[1]Copy of Tracking Sheet '!H38</f>
        <v>0 years, 3 months, 11 days</v>
      </c>
      <c r="K35" s="14"/>
    </row>
    <row r="36" spans="1:11">
      <c r="A36" s="4">
        <v>36</v>
      </c>
      <c r="B36" s="10" t="s">
        <v>99</v>
      </c>
      <c r="C36" s="33" t="s">
        <v>96</v>
      </c>
      <c r="D36" s="33" t="s">
        <v>50</v>
      </c>
      <c r="E36" s="10" t="s">
        <v>86</v>
      </c>
      <c r="F36" s="38">
        <v>289083</v>
      </c>
      <c r="G36" s="39">
        <v>0</v>
      </c>
      <c r="H36" s="39">
        <v>0</v>
      </c>
      <c r="I36" s="9">
        <v>45922</v>
      </c>
      <c r="J36" s="10" t="str">
        <f>'[1]Copy of Tracking Sheet '!H39</f>
        <v>0 years, 3 months, 11 days</v>
      </c>
      <c r="K36" s="14"/>
    </row>
    <row r="37" spans="1:11">
      <c r="A37" s="4">
        <v>37</v>
      </c>
      <c r="B37" s="10" t="s">
        <v>100</v>
      </c>
      <c r="C37" s="10" t="s">
        <v>101</v>
      </c>
      <c r="D37" s="10" t="s">
        <v>50</v>
      </c>
      <c r="E37" s="10" t="s">
        <v>86</v>
      </c>
      <c r="F37" s="6">
        <v>2829825</v>
      </c>
      <c r="G37" s="39">
        <v>0</v>
      </c>
      <c r="H37" s="39">
        <v>0</v>
      </c>
      <c r="I37" s="9">
        <v>45947</v>
      </c>
      <c r="J37" s="10" t="str">
        <f>'[1]Copy of Tracking Sheet '!H41</f>
        <v>0 years, 2 months, 16 days</v>
      </c>
      <c r="K37" s="14"/>
    </row>
    <row r="38" spans="1:11">
      <c r="A38" s="4">
        <v>39</v>
      </c>
      <c r="B38" s="10" t="s">
        <v>102</v>
      </c>
      <c r="C38" s="33" t="s">
        <v>103</v>
      </c>
      <c r="D38" s="33" t="s">
        <v>104</v>
      </c>
      <c r="E38" s="10" t="s">
        <v>86</v>
      </c>
      <c r="F38" s="6">
        <v>0</v>
      </c>
      <c r="G38" s="39">
        <v>0</v>
      </c>
      <c r="H38" s="39">
        <v>0</v>
      </c>
      <c r="I38" s="9">
        <v>45889</v>
      </c>
      <c r="J38" s="10"/>
      <c r="K38" s="14"/>
    </row>
    <row r="39" spans="1:11">
      <c r="A39" s="4"/>
      <c r="B39" s="10"/>
      <c r="C39" s="10"/>
      <c r="D39" s="10"/>
      <c r="E39" s="10"/>
      <c r="F39" s="41">
        <v>243288947</v>
      </c>
      <c r="G39" s="41">
        <v>122291406.5</v>
      </c>
      <c r="H39" s="41">
        <v>104668588.5</v>
      </c>
      <c r="I39" s="9"/>
      <c r="J39" s="10"/>
      <c r="K39" s="14"/>
    </row>
  </sheetData>
  <conditionalFormatting sqref="E1:H39">
    <cfRule type="containsText" dxfId="7" priority="7" operator="containsText" text="To Be Start">
      <formula>NOT(ISERROR(SEARCH(("To Be Start"),(E1))))</formula>
    </cfRule>
    <cfRule type="containsText" dxfId="6" priority="8" operator="containsText" text="In progres">
      <formula>NOT(ISERROR(SEARCH(("In progres"),(E1))))</formula>
    </cfRule>
  </conditionalFormatting>
  <conditionalFormatting sqref="E2:H15 H16:H29 E17:G29 E33:H39">
    <cfRule type="containsText" dxfId="5" priority="4" operator="containsText" text="Completed">
      <formula>NOT(ISERROR(SEARCH(("Completed"),(E2))))</formula>
    </cfRule>
    <cfRule type="containsText" dxfId="4" priority="5" operator="containsText" text="To be Started">
      <formula>NOT(ISERROR(SEARCH(("To be Started"),(E2))))</formula>
    </cfRule>
    <cfRule type="containsText" dxfId="3" priority="6" operator="containsText" text="Completion stage">
      <formula>NOT(ISERROR(SEARCH(("Completion stage"),(E2))))</formula>
    </cfRule>
  </conditionalFormatting>
  <conditionalFormatting sqref="F16">
    <cfRule type="containsText" dxfId="2" priority="1" operator="containsText" text="Completed">
      <formula>NOT(ISERROR(SEARCH(("Completed"),(F16))))</formula>
    </cfRule>
    <cfRule type="containsText" dxfId="1" priority="2" operator="containsText" text="To be Started">
      <formula>NOT(ISERROR(SEARCH(("To be Started"),(F16))))</formula>
    </cfRule>
    <cfRule type="containsText" dxfId="0" priority="3" operator="containsText" text="Completion stage">
      <formula>NOT(ISERROR(SEARCH(("Completion stage"),(F16))))</formula>
    </cfRule>
  </conditionalFormatting>
  <hyperlinks>
    <hyperlink ref="C3" r:id="rId1"/>
    <hyperlink ref="D3" r:id="rId2"/>
    <hyperlink ref="C5" r:id="rId3"/>
    <hyperlink ref="D5" r:id="rId4"/>
    <hyperlink ref="C6" r:id="rId5"/>
    <hyperlink ref="D6" r:id="rId6"/>
    <hyperlink ref="C7" r:id="rId7"/>
    <hyperlink ref="D7" r:id="rId8"/>
    <hyperlink ref="C8" r:id="rId9"/>
    <hyperlink ref="D8" r:id="rId10"/>
    <hyperlink ref="C9" r:id="rId11"/>
    <hyperlink ref="D9" r:id="rId12"/>
    <hyperlink ref="C10" r:id="rId13"/>
    <hyperlink ref="D10" r:id="rId14"/>
    <hyperlink ref="C11" r:id="rId15"/>
    <hyperlink ref="C12" r:id="rId16"/>
    <hyperlink ref="D12" r:id="rId17"/>
    <hyperlink ref="C13" r:id="rId18"/>
    <hyperlink ref="D13" r:id="rId19"/>
    <hyperlink ref="E13" r:id="rId20"/>
    <hyperlink ref="K13" r:id="rId21"/>
    <hyperlink ref="C14" r:id="rId22"/>
    <hyperlink ref="C15" r:id="rId23"/>
    <hyperlink ref="D15" r:id="rId24"/>
    <hyperlink ref="E15" r:id="rId25" location="gid=1830412993"/>
    <hyperlink ref="C16" r:id="rId26"/>
    <hyperlink ref="D16" r:id="rId27" location="gid=1686669138"/>
    <hyperlink ref="C17" r:id="rId28"/>
    <hyperlink ref="D17" r:id="rId29"/>
    <hyperlink ref="C18" r:id="rId30"/>
    <hyperlink ref="C19" r:id="rId31"/>
    <hyperlink ref="D19" r:id="rId32"/>
    <hyperlink ref="C20" r:id="rId33"/>
    <hyperlink ref="D20" r:id="rId34"/>
    <hyperlink ref="C21" r:id="rId35"/>
    <hyperlink ref="C22" r:id="rId36"/>
    <hyperlink ref="C23" r:id="rId37"/>
    <hyperlink ref="D23" r:id="rId38"/>
    <hyperlink ref="C24" r:id="rId39"/>
    <hyperlink ref="C25" r:id="rId40"/>
    <hyperlink ref="C26" r:id="rId41"/>
    <hyperlink ref="D26" r:id="rId42"/>
    <hyperlink ref="C27" r:id="rId43"/>
    <hyperlink ref="D27" r:id="rId44"/>
    <hyperlink ref="C28" r:id="rId45"/>
    <hyperlink ref="D28" r:id="rId46"/>
    <hyperlink ref="C29" r:id="rId47"/>
    <hyperlink ref="D29" r:id="rId48"/>
    <hyperlink ref="C30" r:id="rId49"/>
    <hyperlink ref="D30" r:id="rId50" location="gid=0"/>
    <hyperlink ref="C31" r:id="rId51"/>
    <hyperlink ref="D31" r:id="rId52" location="gid=0"/>
    <hyperlink ref="B32" r:id="rId53" display="RFL - 6 (328)"/>
    <hyperlink ref="C32" r:id="rId54"/>
    <hyperlink ref="C33" r:id="rId55"/>
    <hyperlink ref="C34" r:id="rId56"/>
    <hyperlink ref="D34" r:id="rId57"/>
    <hyperlink ref="C35" r:id="rId58"/>
    <hyperlink ref="D35" r:id="rId59"/>
    <hyperlink ref="C36" r:id="rId60"/>
    <hyperlink ref="D36" r:id="rId61"/>
    <hyperlink ref="C38" r:id="rId62"/>
    <hyperlink ref="D38" r:id="rId6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7"/>
  <sheetViews>
    <sheetView topLeftCell="G1" zoomScale="40" zoomScaleNormal="40" workbookViewId="0">
      <selection activeCell="P4" sqref="P4"/>
    </sheetView>
  </sheetViews>
  <sheetFormatPr defaultRowHeight="14.5"/>
  <cols>
    <col min="1" max="1" width="17.7265625" hidden="1" customWidth="1"/>
    <col min="2" max="2" width="41.453125" bestFit="1" customWidth="1"/>
    <col min="3" max="3" width="41.453125" customWidth="1"/>
    <col min="4" max="5" width="20.90625" customWidth="1"/>
    <col min="6" max="7" width="19" style="209" customWidth="1"/>
    <col min="8" max="8" width="19.1796875" bestFit="1" customWidth="1"/>
    <col min="9" max="9" width="24.453125" style="108" customWidth="1"/>
    <col min="10" max="10" width="18.81640625" customWidth="1"/>
    <col min="11" max="11" width="18.81640625" style="322" customWidth="1"/>
    <col min="12" max="12" width="17.453125" customWidth="1"/>
    <col min="13" max="13" width="18.81640625" customWidth="1"/>
    <col min="14" max="14" width="19.453125" customWidth="1"/>
    <col min="15" max="17" width="19.90625" customWidth="1"/>
    <col min="18" max="18" width="19.90625" bestFit="1" customWidth="1"/>
    <col min="19" max="20" width="19.90625" customWidth="1"/>
    <col min="21" max="21" width="19.81640625" customWidth="1"/>
    <col min="22" max="26" width="17.453125" customWidth="1"/>
    <col min="27" max="27" width="21.36328125" customWidth="1"/>
    <col min="28" max="28" width="17.7265625" customWidth="1"/>
    <col min="29" max="29" width="21.54296875" bestFit="1" customWidth="1"/>
    <col min="30" max="30" width="12.6328125" hidden="1" customWidth="1"/>
    <col min="31" max="31" width="19.81640625" hidden="1" customWidth="1"/>
    <col min="32" max="32" width="36.26953125" customWidth="1"/>
    <col min="34" max="34" width="17.7265625" bestFit="1" customWidth="1"/>
    <col min="38" max="38" width="14.453125" bestFit="1" customWidth="1"/>
    <col min="41" max="41" width="14.453125" bestFit="1" customWidth="1"/>
    <col min="43" max="43" width="14.453125" bestFit="1" customWidth="1"/>
  </cols>
  <sheetData>
    <row r="1" spans="1:34" ht="19" thickBot="1">
      <c r="A1" s="401" t="s">
        <v>296</v>
      </c>
      <c r="B1" s="402"/>
      <c r="C1" s="402"/>
      <c r="D1" s="402"/>
      <c r="E1" s="402"/>
      <c r="F1" s="402"/>
      <c r="G1" s="402"/>
      <c r="H1" s="402"/>
      <c r="I1" s="402"/>
      <c r="J1" s="402"/>
      <c r="K1" s="403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  <c r="Y1" s="402"/>
      <c r="Z1" s="402"/>
      <c r="AA1" s="402"/>
      <c r="AB1" s="402"/>
      <c r="AC1" s="402"/>
      <c r="AD1" s="64"/>
      <c r="AE1" s="64"/>
      <c r="AF1" s="65"/>
    </row>
    <row r="2" spans="1:34" ht="19" thickBot="1">
      <c r="A2" s="404" t="s">
        <v>297</v>
      </c>
      <c r="B2" s="405"/>
      <c r="C2" s="405"/>
      <c r="D2" s="405"/>
      <c r="E2" s="405"/>
      <c r="F2" s="405"/>
      <c r="G2" s="405"/>
      <c r="H2" s="405"/>
      <c r="I2" s="405"/>
      <c r="J2" s="405"/>
      <c r="K2" s="406"/>
      <c r="L2" s="405"/>
      <c r="M2" s="405"/>
      <c r="N2" s="405"/>
      <c r="O2" s="405"/>
      <c r="P2" s="405"/>
      <c r="Q2" s="405"/>
      <c r="R2" s="405"/>
      <c r="S2" s="405"/>
      <c r="T2" s="405"/>
      <c r="U2" s="405"/>
      <c r="V2" s="405"/>
      <c r="W2" s="405"/>
      <c r="X2" s="405"/>
      <c r="Y2" s="405"/>
      <c r="Z2" s="405"/>
      <c r="AA2" s="405"/>
      <c r="AB2" s="405"/>
      <c r="AC2" s="405"/>
      <c r="AD2" s="64"/>
      <c r="AE2" s="64"/>
      <c r="AF2" s="64"/>
    </row>
    <row r="3" spans="1:34" ht="29.5" thickBot="1">
      <c r="A3" s="407" t="s">
        <v>137</v>
      </c>
      <c r="B3" s="408"/>
      <c r="C3" s="408"/>
      <c r="D3" s="409"/>
      <c r="E3" s="66"/>
      <c r="F3" s="242"/>
      <c r="G3" s="242"/>
      <c r="H3" s="243">
        <f>SUM(H5:H66)</f>
        <v>109343401.2</v>
      </c>
      <c r="I3" s="243">
        <f>SUM(I5:I66)</f>
        <v>76986760</v>
      </c>
      <c r="J3" s="243">
        <f>SUM(J5:J66)</f>
        <v>186330161.19999999</v>
      </c>
      <c r="K3" s="244"/>
      <c r="L3" s="68" t="s">
        <v>138</v>
      </c>
      <c r="M3" s="68" t="s">
        <v>139</v>
      </c>
      <c r="N3" s="68" t="s">
        <v>138</v>
      </c>
      <c r="O3" s="68" t="s">
        <v>138</v>
      </c>
      <c r="P3" s="68" t="s">
        <v>138</v>
      </c>
      <c r="Q3" s="68" t="s">
        <v>138</v>
      </c>
      <c r="R3" s="68" t="s">
        <v>138</v>
      </c>
      <c r="S3" s="68" t="s">
        <v>138</v>
      </c>
      <c r="T3" s="69" t="s">
        <v>138</v>
      </c>
      <c r="U3" s="70" t="s">
        <v>140</v>
      </c>
      <c r="V3" s="70" t="s">
        <v>140</v>
      </c>
      <c r="W3" s="70" t="s">
        <v>140</v>
      </c>
      <c r="X3" s="70" t="s">
        <v>140</v>
      </c>
      <c r="Y3" s="70" t="s">
        <v>140</v>
      </c>
      <c r="Z3" s="70" t="s">
        <v>140</v>
      </c>
      <c r="AA3" s="69" t="s">
        <v>298</v>
      </c>
      <c r="AB3" s="245" t="s">
        <v>299</v>
      </c>
      <c r="AC3" s="67">
        <f>SUM(AC5:AC68)</f>
        <v>123096285.44999999</v>
      </c>
      <c r="AD3" s="410" t="s">
        <v>300</v>
      </c>
      <c r="AE3" s="411"/>
      <c r="AF3" s="411"/>
    </row>
    <row r="4" spans="1:34" ht="47" thickBot="1">
      <c r="A4" s="71" t="s">
        <v>106</v>
      </c>
      <c r="B4" s="71" t="s">
        <v>145</v>
      </c>
      <c r="C4" s="71" t="s">
        <v>301</v>
      </c>
      <c r="D4" s="71" t="s">
        <v>146</v>
      </c>
      <c r="E4" s="72" t="s">
        <v>147</v>
      </c>
      <c r="F4" s="246" t="s">
        <v>5</v>
      </c>
      <c r="G4" s="73" t="s">
        <v>148</v>
      </c>
      <c r="H4" s="72" t="s">
        <v>149</v>
      </c>
      <c r="I4" s="72" t="s">
        <v>150</v>
      </c>
      <c r="J4" s="72" t="s">
        <v>151</v>
      </c>
      <c r="K4" s="247" t="s">
        <v>302</v>
      </c>
      <c r="L4" s="74" t="s">
        <v>152</v>
      </c>
      <c r="M4" s="74" t="s">
        <v>153</v>
      </c>
      <c r="N4" s="74" t="s">
        <v>154</v>
      </c>
      <c r="O4" s="74" t="s">
        <v>155</v>
      </c>
      <c r="P4" s="75" t="s">
        <v>156</v>
      </c>
      <c r="Q4" s="74" t="s">
        <v>157</v>
      </c>
      <c r="R4" s="76" t="s">
        <v>158</v>
      </c>
      <c r="S4" s="76" t="s">
        <v>159</v>
      </c>
      <c r="T4" s="77" t="s">
        <v>303</v>
      </c>
      <c r="U4" s="78" t="s">
        <v>160</v>
      </c>
      <c r="V4" s="78" t="s">
        <v>161</v>
      </c>
      <c r="W4" s="78" t="s">
        <v>157</v>
      </c>
      <c r="X4" s="78" t="s">
        <v>158</v>
      </c>
      <c r="Y4" s="79" t="s">
        <v>159</v>
      </c>
      <c r="Z4" s="79" t="s">
        <v>303</v>
      </c>
      <c r="AA4" s="248" t="s">
        <v>304</v>
      </c>
      <c r="AB4" s="249" t="s">
        <v>305</v>
      </c>
      <c r="AC4" s="250" t="s">
        <v>306</v>
      </c>
      <c r="AD4" s="80" t="s">
        <v>165</v>
      </c>
      <c r="AE4" s="80" t="s">
        <v>166</v>
      </c>
      <c r="AF4" s="81" t="s">
        <v>109</v>
      </c>
    </row>
    <row r="5" spans="1:34" ht="18.5">
      <c r="A5" s="82">
        <v>1</v>
      </c>
      <c r="B5" s="83" t="s">
        <v>167</v>
      </c>
      <c r="C5" s="83" t="s">
        <v>307</v>
      </c>
      <c r="D5" s="83"/>
      <c r="E5" s="83"/>
      <c r="F5" s="84">
        <f>875980+983800</f>
        <v>1859780</v>
      </c>
      <c r="G5" s="84">
        <f t="shared" ref="G5:G15" si="0">F5-H5</f>
        <v>1574780</v>
      </c>
      <c r="H5" s="85">
        <v>285000</v>
      </c>
      <c r="I5" s="181">
        <v>0</v>
      </c>
      <c r="J5" s="87">
        <f t="shared" ref="J5:J23" si="1">H5+I5</f>
        <v>285000</v>
      </c>
      <c r="K5" s="251"/>
      <c r="L5" s="88">
        <v>0</v>
      </c>
      <c r="M5" s="88"/>
      <c r="N5" s="88"/>
      <c r="O5" s="88"/>
      <c r="P5" s="88"/>
      <c r="Q5" s="88"/>
      <c r="R5" s="88"/>
      <c r="S5" s="101"/>
      <c r="T5" s="89"/>
      <c r="U5" s="88"/>
      <c r="V5" s="88"/>
      <c r="W5" s="88"/>
      <c r="X5" s="88"/>
      <c r="Y5" s="90"/>
      <c r="Z5" s="90"/>
      <c r="AA5" s="88">
        <f>SUM(L5:T5)-SUM(U5:Z5)</f>
        <v>0</v>
      </c>
      <c r="AB5" s="88">
        <f t="shared" ref="AB5:AB68" si="2">(AA5/J5)*100</f>
        <v>0</v>
      </c>
      <c r="AC5" s="84">
        <f>J5-AA5</f>
        <v>285000</v>
      </c>
      <c r="AD5" s="91"/>
      <c r="AE5" s="91" t="s">
        <v>168</v>
      </c>
      <c r="AF5" s="92" t="s">
        <v>308</v>
      </c>
    </row>
    <row r="6" spans="1:34" ht="18.5">
      <c r="A6" s="93">
        <v>2</v>
      </c>
      <c r="B6" s="94" t="s">
        <v>169</v>
      </c>
      <c r="C6" s="94" t="s">
        <v>307</v>
      </c>
      <c r="D6" s="94"/>
      <c r="E6" s="94"/>
      <c r="F6" s="252">
        <v>12281602</v>
      </c>
      <c r="G6" s="84">
        <f t="shared" si="0"/>
        <v>1260654</v>
      </c>
      <c r="H6" s="95">
        <f>'[2]Old Working'!L9</f>
        <v>11020948</v>
      </c>
      <c r="I6" s="181">
        <v>0</v>
      </c>
      <c r="J6" s="96">
        <f t="shared" si="1"/>
        <v>11020948</v>
      </c>
      <c r="K6" s="253"/>
      <c r="L6" s="97">
        <v>0</v>
      </c>
      <c r="M6" s="88"/>
      <c r="N6" s="88"/>
      <c r="O6" s="88">
        <v>441466.9</v>
      </c>
      <c r="P6" s="88"/>
      <c r="Q6" s="88"/>
      <c r="R6" s="88"/>
      <c r="S6" s="101"/>
      <c r="T6" s="89"/>
      <c r="U6" s="88"/>
      <c r="V6" s="88"/>
      <c r="W6" s="88"/>
      <c r="X6" s="88"/>
      <c r="Y6" s="90"/>
      <c r="Z6" s="90"/>
      <c r="AA6" s="88">
        <f>SUM(L6:T6)-SUM(U6:Z6)</f>
        <v>441466.9</v>
      </c>
      <c r="AB6" s="88">
        <f t="shared" si="2"/>
        <v>4.0057071315462158</v>
      </c>
      <c r="AC6" s="84">
        <f>J6-AA6</f>
        <v>10579481.1</v>
      </c>
      <c r="AD6" s="98"/>
      <c r="AE6" s="91" t="s">
        <v>168</v>
      </c>
      <c r="AF6" s="99"/>
    </row>
    <row r="7" spans="1:34" ht="18.5">
      <c r="A7" s="82">
        <v>3</v>
      </c>
      <c r="B7" s="94" t="s">
        <v>170</v>
      </c>
      <c r="C7" s="94" t="s">
        <v>307</v>
      </c>
      <c r="D7" s="94"/>
      <c r="E7" s="94"/>
      <c r="F7" s="252">
        <v>480000</v>
      </c>
      <c r="G7" s="84">
        <f t="shared" si="0"/>
        <v>363200</v>
      </c>
      <c r="H7" s="95">
        <f>'[2]Old Working'!L13</f>
        <v>116800</v>
      </c>
      <c r="I7" s="181">
        <v>0</v>
      </c>
      <c r="J7" s="96">
        <f t="shared" si="1"/>
        <v>116800</v>
      </c>
      <c r="K7" s="253"/>
      <c r="L7" s="97">
        <v>0</v>
      </c>
      <c r="M7" s="88"/>
      <c r="N7" s="88"/>
      <c r="O7" s="88"/>
      <c r="P7" s="88"/>
      <c r="Q7" s="88"/>
      <c r="R7" s="88"/>
      <c r="S7" s="135"/>
      <c r="T7" s="100"/>
      <c r="U7" s="88"/>
      <c r="V7" s="88"/>
      <c r="W7" s="88"/>
      <c r="X7" s="88"/>
      <c r="Y7" s="90"/>
      <c r="Z7" s="90"/>
      <c r="AA7" s="88">
        <f t="shared" ref="AA7:AA69" si="3">SUM(L7:T7)-SUM(U7:Z7)</f>
        <v>0</v>
      </c>
      <c r="AB7" s="88">
        <f t="shared" si="2"/>
        <v>0</v>
      </c>
      <c r="AC7" s="84">
        <f t="shared" ref="AC7:AC68" si="4">J7-AA7</f>
        <v>116800</v>
      </c>
      <c r="AD7" s="98"/>
      <c r="AE7" s="98" t="s">
        <v>65</v>
      </c>
      <c r="AF7" s="99"/>
    </row>
    <row r="8" spans="1:34" ht="32">
      <c r="A8" s="93">
        <v>4</v>
      </c>
      <c r="B8" s="94" t="s">
        <v>171</v>
      </c>
      <c r="C8" s="94" t="s">
        <v>309</v>
      </c>
      <c r="D8" s="94"/>
      <c r="E8" s="94"/>
      <c r="F8" s="252">
        <v>1675761</v>
      </c>
      <c r="G8" s="84">
        <f t="shared" si="0"/>
        <v>1023779.3</v>
      </c>
      <c r="H8" s="95">
        <f>'[2]Old Working'!L24</f>
        <v>651981.69999999995</v>
      </c>
      <c r="I8" s="181">
        <v>473318</v>
      </c>
      <c r="J8" s="96">
        <f t="shared" si="1"/>
        <v>1125299.7</v>
      </c>
      <c r="K8" s="253"/>
      <c r="L8" s="97">
        <v>0</v>
      </c>
      <c r="M8" s="88"/>
      <c r="N8" s="88"/>
      <c r="O8" s="88"/>
      <c r="P8" s="88"/>
      <c r="Q8" s="101">
        <v>340990</v>
      </c>
      <c r="R8" s="101"/>
      <c r="S8" s="135">
        <f>133992+282440</f>
        <v>416432</v>
      </c>
      <c r="T8" s="100"/>
      <c r="U8" s="88"/>
      <c r="V8" s="88"/>
      <c r="W8" s="88"/>
      <c r="X8" s="88"/>
      <c r="Y8" s="102">
        <v>282440</v>
      </c>
      <c r="Z8" s="102"/>
      <c r="AA8" s="88">
        <f t="shared" si="3"/>
        <v>474982</v>
      </c>
      <c r="AB8" s="88">
        <f t="shared" si="2"/>
        <v>42.209377644017856</v>
      </c>
      <c r="AC8" s="84">
        <f t="shared" si="4"/>
        <v>650317.69999999995</v>
      </c>
      <c r="AD8" s="98"/>
      <c r="AE8" s="98" t="s">
        <v>65</v>
      </c>
      <c r="AF8" s="112" t="s">
        <v>310</v>
      </c>
    </row>
    <row r="9" spans="1:34" ht="18.5">
      <c r="A9" s="82">
        <v>5</v>
      </c>
      <c r="B9" s="94" t="s">
        <v>172</v>
      </c>
      <c r="C9" s="94" t="s">
        <v>307</v>
      </c>
      <c r="D9" s="94"/>
      <c r="E9" s="94"/>
      <c r="F9" s="252">
        <v>11734161</v>
      </c>
      <c r="G9" s="84">
        <f t="shared" si="0"/>
        <v>1037342.5</v>
      </c>
      <c r="H9" s="95">
        <f>'[2]Old Working'!L28</f>
        <v>10696818.5</v>
      </c>
      <c r="I9" s="181">
        <v>0</v>
      </c>
      <c r="J9" s="96">
        <f t="shared" si="1"/>
        <v>10696818.5</v>
      </c>
      <c r="K9" s="253"/>
      <c r="L9" s="97">
        <v>0</v>
      </c>
      <c r="M9" s="88"/>
      <c r="N9" s="88"/>
      <c r="O9" s="88">
        <v>1025696</v>
      </c>
      <c r="P9" s="88"/>
      <c r="Q9" s="88"/>
      <c r="R9" s="88"/>
      <c r="S9" s="135"/>
      <c r="T9" s="100"/>
      <c r="U9" s="88"/>
      <c r="V9" s="88"/>
      <c r="W9" s="88"/>
      <c r="X9" s="88"/>
      <c r="Y9" s="90"/>
      <c r="Z9" s="90"/>
      <c r="AA9" s="88">
        <f t="shared" si="3"/>
        <v>1025696</v>
      </c>
      <c r="AB9" s="88">
        <f t="shared" si="2"/>
        <v>9.5887950234922652</v>
      </c>
      <c r="AC9" s="84">
        <f t="shared" si="4"/>
        <v>9671122.5</v>
      </c>
      <c r="AD9" s="98"/>
      <c r="AE9" s="98" t="s">
        <v>65</v>
      </c>
      <c r="AF9" s="99"/>
    </row>
    <row r="10" spans="1:34" ht="18.5">
      <c r="A10" s="93">
        <v>6</v>
      </c>
      <c r="B10" s="94" t="s">
        <v>173</v>
      </c>
      <c r="C10" s="94" t="s">
        <v>307</v>
      </c>
      <c r="D10" s="94"/>
      <c r="E10" s="94"/>
      <c r="F10" s="252">
        <v>2468800</v>
      </c>
      <c r="G10" s="84">
        <f t="shared" si="0"/>
        <v>735280</v>
      </c>
      <c r="H10" s="95">
        <f>'[2]Old Working'!L31</f>
        <v>1733520</v>
      </c>
      <c r="I10" s="181">
        <v>0</v>
      </c>
      <c r="J10" s="96">
        <f t="shared" si="1"/>
        <v>1733520</v>
      </c>
      <c r="K10" s="253"/>
      <c r="L10" s="97">
        <v>0</v>
      </c>
      <c r="M10" s="88"/>
      <c r="N10" s="88"/>
      <c r="O10" s="88"/>
      <c r="P10" s="88"/>
      <c r="Q10" s="88"/>
      <c r="R10" s="88"/>
      <c r="S10" s="135">
        <v>785680</v>
      </c>
      <c r="T10" s="100">
        <v>67050</v>
      </c>
      <c r="U10" s="88"/>
      <c r="V10" s="88"/>
      <c r="W10" s="88"/>
      <c r="X10" s="88"/>
      <c r="Y10" s="90"/>
      <c r="Z10" s="90"/>
      <c r="AA10" s="88">
        <f t="shared" si="3"/>
        <v>852730</v>
      </c>
      <c r="AB10" s="88">
        <f t="shared" si="2"/>
        <v>49.19066408232959</v>
      </c>
      <c r="AC10" s="84">
        <f t="shared" si="4"/>
        <v>880790</v>
      </c>
      <c r="AD10" s="98"/>
      <c r="AE10" s="98" t="s">
        <v>65</v>
      </c>
      <c r="AF10" s="99" t="s">
        <v>311</v>
      </c>
      <c r="AH10" s="103">
        <f>J3-L74</f>
        <v>114214502.09999999</v>
      </c>
    </row>
    <row r="11" spans="1:34" s="108" customFormat="1" ht="18.5">
      <c r="A11" s="82">
        <v>7</v>
      </c>
      <c r="B11" s="94" t="s">
        <v>174</v>
      </c>
      <c r="C11" s="94" t="s">
        <v>307</v>
      </c>
      <c r="D11" s="104"/>
      <c r="E11" s="104"/>
      <c r="F11" s="254">
        <v>6925030</v>
      </c>
      <c r="G11" s="84">
        <f t="shared" si="0"/>
        <v>3262387</v>
      </c>
      <c r="H11" s="95">
        <v>3662643</v>
      </c>
      <c r="I11" s="181">
        <v>2438531</v>
      </c>
      <c r="J11" s="96">
        <f t="shared" si="1"/>
        <v>6101174</v>
      </c>
      <c r="K11" s="253"/>
      <c r="L11" s="97" t="s">
        <v>126</v>
      </c>
      <c r="M11" s="88" t="s">
        <v>126</v>
      </c>
      <c r="N11" s="101">
        <f>811706+162505</f>
        <v>974211</v>
      </c>
      <c r="O11" s="88">
        <v>203431.85</v>
      </c>
      <c r="P11" s="88"/>
      <c r="Q11" s="101"/>
      <c r="R11" s="101"/>
      <c r="S11" s="135">
        <v>1668274</v>
      </c>
      <c r="T11" s="100">
        <v>199014</v>
      </c>
      <c r="U11" s="101">
        <v>8283</v>
      </c>
      <c r="V11" s="101"/>
      <c r="W11" s="101"/>
      <c r="X11" s="101"/>
      <c r="Y11" s="105"/>
      <c r="Z11" s="105"/>
      <c r="AA11" s="88">
        <f t="shared" si="3"/>
        <v>3036647.85</v>
      </c>
      <c r="AB11" s="88">
        <f t="shared" si="2"/>
        <v>49.771533314735819</v>
      </c>
      <c r="AC11" s="84">
        <f t="shared" si="4"/>
        <v>3064526.15</v>
      </c>
      <c r="AD11" s="106"/>
      <c r="AE11" s="106" t="s">
        <v>19</v>
      </c>
      <c r="AF11" s="107" t="s">
        <v>312</v>
      </c>
      <c r="AH11" s="109"/>
    </row>
    <row r="12" spans="1:34" ht="37">
      <c r="A12" s="82">
        <v>8</v>
      </c>
      <c r="B12" s="110" t="s">
        <v>175</v>
      </c>
      <c r="C12" s="110" t="s">
        <v>307</v>
      </c>
      <c r="D12" s="111"/>
      <c r="E12" s="111"/>
      <c r="F12" s="255">
        <v>1126004</v>
      </c>
      <c r="G12" s="84">
        <f t="shared" si="0"/>
        <v>0</v>
      </c>
      <c r="H12" s="95">
        <f>'[2]Old Working'!G59</f>
        <v>1126004</v>
      </c>
      <c r="I12" s="181">
        <v>0</v>
      </c>
      <c r="J12" s="96">
        <f t="shared" si="1"/>
        <v>1126004</v>
      </c>
      <c r="K12" s="253"/>
      <c r="L12" s="97">
        <v>0</v>
      </c>
      <c r="M12" s="88"/>
      <c r="N12" s="88"/>
      <c r="O12" s="88"/>
      <c r="P12" s="88"/>
      <c r="Q12" s="101">
        <v>114450</v>
      </c>
      <c r="R12" s="101"/>
      <c r="S12" s="135"/>
      <c r="T12" s="100"/>
      <c r="U12" s="88"/>
      <c r="V12" s="88"/>
      <c r="W12" s="88"/>
      <c r="X12" s="88"/>
      <c r="Y12" s="90"/>
      <c r="Z12" s="90"/>
      <c r="AA12" s="88">
        <f t="shared" si="3"/>
        <v>114450</v>
      </c>
      <c r="AB12" s="88">
        <f t="shared" si="2"/>
        <v>10.16426229391725</v>
      </c>
      <c r="AC12" s="84">
        <f t="shared" si="4"/>
        <v>1011554</v>
      </c>
      <c r="AD12" s="98"/>
      <c r="AE12" s="98" t="s">
        <v>65</v>
      </c>
      <c r="AF12" s="99"/>
    </row>
    <row r="13" spans="1:34" ht="37">
      <c r="A13" s="93">
        <v>9</v>
      </c>
      <c r="B13" s="110" t="s">
        <v>176</v>
      </c>
      <c r="C13" s="110" t="s">
        <v>307</v>
      </c>
      <c r="D13" s="111"/>
      <c r="E13" s="111"/>
      <c r="F13" s="255">
        <v>3699991</v>
      </c>
      <c r="G13" s="84">
        <f t="shared" si="0"/>
        <v>0</v>
      </c>
      <c r="H13" s="95">
        <f>'[2]Old Working'!G60</f>
        <v>3699991</v>
      </c>
      <c r="I13" s="181">
        <v>0</v>
      </c>
      <c r="J13" s="96">
        <f t="shared" si="1"/>
        <v>3699991</v>
      </c>
      <c r="K13" s="253"/>
      <c r="L13" s="97">
        <v>0</v>
      </c>
      <c r="M13" s="88"/>
      <c r="N13" s="88"/>
      <c r="O13" s="88"/>
      <c r="P13" s="88"/>
      <c r="Q13" s="101">
        <v>267050</v>
      </c>
      <c r="R13" s="101"/>
      <c r="S13" s="135"/>
      <c r="T13" s="100"/>
      <c r="U13" s="88"/>
      <c r="V13" s="88"/>
      <c r="W13" s="88"/>
      <c r="X13" s="88"/>
      <c r="Y13" s="90"/>
      <c r="Z13" s="90"/>
      <c r="AA13" s="88">
        <f t="shared" si="3"/>
        <v>267050</v>
      </c>
      <c r="AB13" s="88">
        <f t="shared" si="2"/>
        <v>7.2175851238557058</v>
      </c>
      <c r="AC13" s="84">
        <f t="shared" si="4"/>
        <v>3432941</v>
      </c>
      <c r="AD13" s="98"/>
      <c r="AE13" s="98" t="s">
        <v>65</v>
      </c>
      <c r="AF13" s="99"/>
    </row>
    <row r="14" spans="1:34" ht="111">
      <c r="A14" s="82">
        <v>10</v>
      </c>
      <c r="B14" s="110" t="s">
        <v>177</v>
      </c>
      <c r="C14" s="110" t="s">
        <v>307</v>
      </c>
      <c r="D14" s="110" t="s">
        <v>178</v>
      </c>
      <c r="E14" s="110"/>
      <c r="F14" s="256">
        <v>2832390</v>
      </c>
      <c r="G14" s="84">
        <f t="shared" si="0"/>
        <v>0</v>
      </c>
      <c r="H14" s="95">
        <f>'[2]Old Working'!G61</f>
        <v>2832390</v>
      </c>
      <c r="I14" s="181">
        <v>0</v>
      </c>
      <c r="J14" s="96">
        <f t="shared" si="1"/>
        <v>2832390</v>
      </c>
      <c r="K14" s="253"/>
      <c r="L14" s="97">
        <v>0</v>
      </c>
      <c r="M14" s="97"/>
      <c r="N14" s="97"/>
      <c r="O14" s="88"/>
      <c r="P14" s="88">
        <v>158790</v>
      </c>
      <c r="Q14" s="101">
        <v>110642</v>
      </c>
      <c r="R14" s="101"/>
      <c r="S14" s="101">
        <v>271985</v>
      </c>
      <c r="T14" s="89"/>
      <c r="U14" s="88"/>
      <c r="V14" s="88"/>
      <c r="W14" s="88">
        <v>158790</v>
      </c>
      <c r="X14" s="88"/>
      <c r="Y14" s="90"/>
      <c r="Z14" s="90"/>
      <c r="AA14" s="88">
        <f t="shared" si="3"/>
        <v>382627</v>
      </c>
      <c r="AB14" s="88">
        <f t="shared" si="2"/>
        <v>13.508980048651493</v>
      </c>
      <c r="AC14" s="84">
        <f t="shared" si="4"/>
        <v>2449763</v>
      </c>
      <c r="AD14" s="98" t="s">
        <v>179</v>
      </c>
      <c r="AE14" s="98" t="s">
        <v>65</v>
      </c>
      <c r="AF14" s="112" t="s">
        <v>180</v>
      </c>
    </row>
    <row r="15" spans="1:34" ht="111">
      <c r="A15" s="93">
        <v>11</v>
      </c>
      <c r="B15" s="110" t="s">
        <v>181</v>
      </c>
      <c r="C15" s="110" t="s">
        <v>307</v>
      </c>
      <c r="D15" s="110" t="s">
        <v>182</v>
      </c>
      <c r="E15" s="110"/>
      <c r="F15" s="256">
        <v>4100000</v>
      </c>
      <c r="G15" s="84">
        <f t="shared" si="0"/>
        <v>0</v>
      </c>
      <c r="H15" s="95">
        <f>'[2]Old Working'!G62</f>
        <v>4100000</v>
      </c>
      <c r="I15" s="181">
        <v>0</v>
      </c>
      <c r="J15" s="96">
        <f t="shared" si="1"/>
        <v>4100000</v>
      </c>
      <c r="K15" s="253"/>
      <c r="L15" s="97">
        <v>0</v>
      </c>
      <c r="M15" s="97"/>
      <c r="N15" s="97"/>
      <c r="O15" s="88"/>
      <c r="P15" s="88">
        <v>223703</v>
      </c>
      <c r="Q15" s="101">
        <v>152303</v>
      </c>
      <c r="R15" s="101"/>
      <c r="S15" s="101">
        <v>283010</v>
      </c>
      <c r="T15" s="89"/>
      <c r="U15" s="88"/>
      <c r="V15" s="88"/>
      <c r="W15" s="88">
        <v>223703</v>
      </c>
      <c r="X15" s="88"/>
      <c r="Y15" s="90"/>
      <c r="Z15" s="90"/>
      <c r="AA15" s="88">
        <f t="shared" si="3"/>
        <v>435313</v>
      </c>
      <c r="AB15" s="88">
        <f t="shared" si="2"/>
        <v>10.617390243902438</v>
      </c>
      <c r="AC15" s="84">
        <f t="shared" si="4"/>
        <v>3664687</v>
      </c>
      <c r="AD15" s="98" t="s">
        <v>179</v>
      </c>
      <c r="AE15" s="98" t="s">
        <v>65</v>
      </c>
      <c r="AF15" s="112" t="s">
        <v>180</v>
      </c>
    </row>
    <row r="16" spans="1:34" ht="111">
      <c r="A16" s="82">
        <v>12</v>
      </c>
      <c r="B16" s="110" t="s">
        <v>183</v>
      </c>
      <c r="C16" s="110"/>
      <c r="D16" s="110" t="s">
        <v>184</v>
      </c>
      <c r="E16" s="110"/>
      <c r="F16" s="256">
        <v>922583</v>
      </c>
      <c r="G16" s="84">
        <v>0</v>
      </c>
      <c r="H16" s="113">
        <v>0</v>
      </c>
      <c r="I16" s="181">
        <f>922583+216636</f>
        <v>1139219</v>
      </c>
      <c r="J16" s="96">
        <f t="shared" si="1"/>
        <v>1139219</v>
      </c>
      <c r="K16" s="253"/>
      <c r="L16" s="97">
        <v>0</v>
      </c>
      <c r="M16" s="88">
        <v>0</v>
      </c>
      <c r="N16" s="88"/>
      <c r="O16" s="88"/>
      <c r="P16" s="88">
        <v>413295</v>
      </c>
      <c r="Q16" s="101">
        <v>208538</v>
      </c>
      <c r="R16" s="101"/>
      <c r="S16" s="101"/>
      <c r="T16" s="89">
        <v>123170</v>
      </c>
      <c r="U16" s="88"/>
      <c r="V16" s="88"/>
      <c r="W16" s="88"/>
      <c r="X16" s="88"/>
      <c r="Y16" s="90"/>
      <c r="Z16" s="90"/>
      <c r="AA16" s="88">
        <f t="shared" si="3"/>
        <v>745003</v>
      </c>
      <c r="AB16" s="88">
        <f t="shared" si="2"/>
        <v>65.395942307844237</v>
      </c>
      <c r="AC16" s="84">
        <f t="shared" si="4"/>
        <v>394216</v>
      </c>
      <c r="AD16" s="98"/>
      <c r="AE16" s="98" t="s">
        <v>185</v>
      </c>
      <c r="AF16" s="112"/>
    </row>
    <row r="17" spans="1:41" s="108" customFormat="1" ht="18.5">
      <c r="A17" s="114">
        <v>13</v>
      </c>
      <c r="B17" s="94" t="s">
        <v>186</v>
      </c>
      <c r="C17" s="94" t="s">
        <v>307</v>
      </c>
      <c r="D17" s="104"/>
      <c r="E17" s="104"/>
      <c r="F17" s="257">
        <v>907796</v>
      </c>
      <c r="G17" s="84">
        <f t="shared" ref="G17:G27" si="5">F17-H17</f>
        <v>0</v>
      </c>
      <c r="H17" s="95">
        <f>'[2]Old Working'!L55</f>
        <v>907796</v>
      </c>
      <c r="I17" s="181">
        <v>0</v>
      </c>
      <c r="J17" s="96">
        <f t="shared" si="1"/>
        <v>907796</v>
      </c>
      <c r="K17" s="253"/>
      <c r="L17" s="97">
        <v>0</v>
      </c>
      <c r="M17" s="88">
        <v>427607</v>
      </c>
      <c r="N17" s="101"/>
      <c r="O17" s="88">
        <v>333718</v>
      </c>
      <c r="P17" s="88"/>
      <c r="Q17" s="101"/>
      <c r="R17" s="101"/>
      <c r="S17" s="101"/>
      <c r="T17" s="89"/>
      <c r="U17" s="101"/>
      <c r="V17" s="101"/>
      <c r="W17" s="101"/>
      <c r="X17" s="101"/>
      <c r="Y17" s="105"/>
      <c r="Z17" s="105"/>
      <c r="AA17" s="88">
        <f t="shared" si="3"/>
        <v>761325</v>
      </c>
      <c r="AB17" s="88">
        <f t="shared" si="2"/>
        <v>83.865207601707866</v>
      </c>
      <c r="AC17" s="84">
        <f t="shared" si="4"/>
        <v>146471</v>
      </c>
      <c r="AD17" s="115"/>
      <c r="AE17" s="115" t="s">
        <v>187</v>
      </c>
      <c r="AF17" s="116"/>
    </row>
    <row r="18" spans="1:41" ht="32">
      <c r="A18" s="82">
        <v>14</v>
      </c>
      <c r="B18" s="94" t="s">
        <v>188</v>
      </c>
      <c r="C18" s="94" t="s">
        <v>307</v>
      </c>
      <c r="D18" s="94"/>
      <c r="E18" s="94"/>
      <c r="F18" s="252">
        <v>780500</v>
      </c>
      <c r="G18" s="84">
        <f t="shared" si="5"/>
        <v>205595</v>
      </c>
      <c r="H18" s="95">
        <f>'[2]Old Working'!L65+444405</f>
        <v>574905</v>
      </c>
      <c r="I18" s="181">
        <v>0</v>
      </c>
      <c r="J18" s="96">
        <f t="shared" si="1"/>
        <v>574905</v>
      </c>
      <c r="K18" s="253"/>
      <c r="L18" s="128">
        <f>130500+444405-444405</f>
        <v>130500</v>
      </c>
      <c r="M18" s="88"/>
      <c r="N18" s="88"/>
      <c r="O18" s="88"/>
      <c r="P18" s="88"/>
      <c r="Q18" s="88"/>
      <c r="R18" s="88"/>
      <c r="S18" s="101"/>
      <c r="T18" s="89"/>
      <c r="U18" s="88"/>
      <c r="V18" s="88"/>
      <c r="W18" s="88"/>
      <c r="X18" s="88"/>
      <c r="Y18" s="90"/>
      <c r="Z18" s="90"/>
      <c r="AA18" s="88">
        <f t="shared" si="3"/>
        <v>130500</v>
      </c>
      <c r="AB18" s="88">
        <f t="shared" si="2"/>
        <v>22.699402509979912</v>
      </c>
      <c r="AC18" s="84">
        <f t="shared" si="4"/>
        <v>444405</v>
      </c>
      <c r="AD18" s="121"/>
      <c r="AE18" s="121" t="s">
        <v>189</v>
      </c>
      <c r="AF18" s="122" t="s">
        <v>190</v>
      </c>
    </row>
    <row r="19" spans="1:41" ht="18.5">
      <c r="A19" s="93">
        <v>13</v>
      </c>
      <c r="B19" s="94" t="s">
        <v>191</v>
      </c>
      <c r="C19" s="94" t="s">
        <v>307</v>
      </c>
      <c r="D19" s="94"/>
      <c r="E19" s="94"/>
      <c r="F19" s="252">
        <v>6100585</v>
      </c>
      <c r="G19" s="84">
        <f t="shared" si="5"/>
        <v>3683520</v>
      </c>
      <c r="H19" s="95">
        <f>'[2]Old Working'!L20</f>
        <v>2417065</v>
      </c>
      <c r="I19" s="181">
        <v>0</v>
      </c>
      <c r="J19" s="96">
        <f t="shared" si="1"/>
        <v>2417065</v>
      </c>
      <c r="K19" s="253"/>
      <c r="L19" s="97"/>
      <c r="M19" s="88"/>
      <c r="N19" s="123">
        <v>1443970</v>
      </c>
      <c r="O19" s="85">
        <v>576963</v>
      </c>
      <c r="P19" s="85"/>
      <c r="Q19" s="123"/>
      <c r="R19" s="123"/>
      <c r="S19" s="125">
        <v>170107</v>
      </c>
      <c r="T19" s="124"/>
      <c r="U19" s="123"/>
      <c r="V19" s="123"/>
      <c r="W19" s="123"/>
      <c r="X19" s="125"/>
      <c r="Y19" s="126"/>
      <c r="Z19" s="126"/>
      <c r="AA19" s="88">
        <f t="shared" si="3"/>
        <v>2191040</v>
      </c>
      <c r="AB19" s="88">
        <f t="shared" si="2"/>
        <v>90.648782717883051</v>
      </c>
      <c r="AC19" s="84">
        <f t="shared" si="4"/>
        <v>226025</v>
      </c>
      <c r="AD19" s="98"/>
      <c r="AE19" s="98" t="s">
        <v>192</v>
      </c>
      <c r="AF19" s="127" t="s">
        <v>193</v>
      </c>
    </row>
    <row r="20" spans="1:41" ht="18.5">
      <c r="A20" s="82">
        <v>14</v>
      </c>
      <c r="B20" s="94" t="s">
        <v>194</v>
      </c>
      <c r="C20" s="94" t="s">
        <v>307</v>
      </c>
      <c r="D20" s="104"/>
      <c r="E20" s="104"/>
      <c r="F20" s="252">
        <v>6350710</v>
      </c>
      <c r="G20" s="84">
        <f t="shared" si="5"/>
        <v>3293305</v>
      </c>
      <c r="H20" s="95">
        <f>'[2]Old Working'!L22</f>
        <v>3057405</v>
      </c>
      <c r="I20" s="181">
        <v>0</v>
      </c>
      <c r="J20" s="96">
        <f t="shared" si="1"/>
        <v>3057405</v>
      </c>
      <c r="K20" s="253"/>
      <c r="L20" s="97">
        <v>0</v>
      </c>
      <c r="M20" s="88">
        <v>510195</v>
      </c>
      <c r="N20" s="101">
        <v>203362</v>
      </c>
      <c r="O20" s="88">
        <v>266912</v>
      </c>
      <c r="P20" s="88"/>
      <c r="Q20" s="101">
        <v>79040</v>
      </c>
      <c r="R20" s="101"/>
      <c r="S20" s="101">
        <v>50620</v>
      </c>
      <c r="T20" s="89"/>
      <c r="U20" s="101"/>
      <c r="V20" s="101"/>
      <c r="W20" s="101"/>
      <c r="X20" s="101"/>
      <c r="Y20" s="105"/>
      <c r="Z20" s="105"/>
      <c r="AA20" s="88">
        <f t="shared" si="3"/>
        <v>1110129</v>
      </c>
      <c r="AB20" s="88">
        <f t="shared" si="2"/>
        <v>36.309517384841065</v>
      </c>
      <c r="AC20" s="84">
        <f t="shared" si="4"/>
        <v>1947276</v>
      </c>
      <c r="AD20" s="106" t="s">
        <v>179</v>
      </c>
      <c r="AE20" s="106" t="s">
        <v>195</v>
      </c>
      <c r="AF20" s="127" t="s">
        <v>193</v>
      </c>
    </row>
    <row r="21" spans="1:41" ht="18.5">
      <c r="A21" s="93">
        <v>15</v>
      </c>
      <c r="B21" s="94" t="s">
        <v>196</v>
      </c>
      <c r="C21" s="94" t="s">
        <v>307</v>
      </c>
      <c r="D21" s="94"/>
      <c r="E21" s="94"/>
      <c r="F21" s="252">
        <v>3114148</v>
      </c>
      <c r="G21" s="84">
        <f t="shared" si="5"/>
        <v>1296490</v>
      </c>
      <c r="H21" s="95">
        <v>1817658</v>
      </c>
      <c r="I21" s="181">
        <v>0</v>
      </c>
      <c r="J21" s="96">
        <f t="shared" si="1"/>
        <v>1817658</v>
      </c>
      <c r="K21" s="253"/>
      <c r="L21" s="128">
        <v>695175</v>
      </c>
      <c r="M21" s="97"/>
      <c r="N21" s="97"/>
      <c r="O21" s="88"/>
      <c r="P21" s="88"/>
      <c r="Q21" s="88"/>
      <c r="R21" s="88"/>
      <c r="S21" s="101"/>
      <c r="T21" s="89"/>
      <c r="U21" s="88"/>
      <c r="V21" s="88"/>
      <c r="W21" s="88"/>
      <c r="X21" s="88"/>
      <c r="Y21" s="90"/>
      <c r="Z21" s="90"/>
      <c r="AA21" s="88">
        <f t="shared" si="3"/>
        <v>695175</v>
      </c>
      <c r="AB21" s="88">
        <f t="shared" si="2"/>
        <v>38.245643569912488</v>
      </c>
      <c r="AC21" s="84">
        <f t="shared" si="4"/>
        <v>1122483</v>
      </c>
      <c r="AD21" s="98" t="s">
        <v>179</v>
      </c>
      <c r="AE21" s="98" t="s">
        <v>168</v>
      </c>
      <c r="AF21" s="112" t="s">
        <v>197</v>
      </c>
    </row>
    <row r="22" spans="1:41" ht="18.5">
      <c r="A22" s="129">
        <v>18</v>
      </c>
      <c r="B22" s="94" t="s">
        <v>198</v>
      </c>
      <c r="C22" s="94" t="s">
        <v>307</v>
      </c>
      <c r="D22" s="104"/>
      <c r="E22" s="104"/>
      <c r="F22" s="252">
        <v>2750000</v>
      </c>
      <c r="G22" s="84">
        <f t="shared" si="5"/>
        <v>2062500</v>
      </c>
      <c r="H22" s="95">
        <v>687500</v>
      </c>
      <c r="I22" s="181">
        <v>0</v>
      </c>
      <c r="J22" s="96">
        <f t="shared" si="1"/>
        <v>687500</v>
      </c>
      <c r="K22" s="253"/>
      <c r="L22" s="97"/>
      <c r="M22" s="88">
        <v>687500</v>
      </c>
      <c r="N22" s="101"/>
      <c r="O22" s="88"/>
      <c r="P22" s="88"/>
      <c r="Q22" s="101"/>
      <c r="R22" s="101"/>
      <c r="S22" s="101"/>
      <c r="T22" s="89"/>
      <c r="U22" s="101"/>
      <c r="V22" s="101"/>
      <c r="W22" s="101"/>
      <c r="X22" s="101"/>
      <c r="Y22" s="105"/>
      <c r="Z22" s="105"/>
      <c r="AA22" s="88">
        <f t="shared" si="3"/>
        <v>687500</v>
      </c>
      <c r="AB22" s="88">
        <f t="shared" si="2"/>
        <v>100</v>
      </c>
      <c r="AC22" s="84">
        <f t="shared" si="4"/>
        <v>0</v>
      </c>
      <c r="AD22" s="130"/>
      <c r="AE22" s="130" t="s">
        <v>199</v>
      </c>
      <c r="AF22" s="131" t="s">
        <v>200</v>
      </c>
    </row>
    <row r="23" spans="1:41" ht="63">
      <c r="A23" s="93">
        <v>16</v>
      </c>
      <c r="B23" s="132" t="s">
        <v>201</v>
      </c>
      <c r="C23" s="132" t="s">
        <v>307</v>
      </c>
      <c r="D23" s="104"/>
      <c r="E23" s="104"/>
      <c r="F23" s="252">
        <f>25700062+5496600</f>
        <v>31196662</v>
      </c>
      <c r="G23" s="84">
        <f t="shared" si="5"/>
        <v>7470651</v>
      </c>
      <c r="H23" s="95">
        <f>'[2]Old Working'!L51</f>
        <v>23726011</v>
      </c>
      <c r="I23" s="181">
        <v>0</v>
      </c>
      <c r="J23" s="96">
        <f t="shared" si="1"/>
        <v>23726011</v>
      </c>
      <c r="K23" s="253"/>
      <c r="L23" s="97">
        <v>0</v>
      </c>
      <c r="M23" s="88">
        <v>1254829</v>
      </c>
      <c r="N23" s="133">
        <v>2017195</v>
      </c>
      <c r="O23" s="134"/>
      <c r="P23" s="134">
        <v>0</v>
      </c>
      <c r="Q23" s="86">
        <f>1709426</f>
        <v>1709426</v>
      </c>
      <c r="R23" s="86">
        <v>742587</v>
      </c>
      <c r="S23" s="135"/>
      <c r="T23" s="100"/>
      <c r="U23" s="86"/>
      <c r="V23" s="86"/>
      <c r="W23" s="86">
        <v>0</v>
      </c>
      <c r="X23" s="135"/>
      <c r="Y23" s="136"/>
      <c r="Z23" s="136">
        <v>11705</v>
      </c>
      <c r="AA23" s="88">
        <f t="shared" si="3"/>
        <v>5712332</v>
      </c>
      <c r="AB23" s="88">
        <f t="shared" si="2"/>
        <v>24.076242736294777</v>
      </c>
      <c r="AC23" s="84">
        <f t="shared" si="4"/>
        <v>18013679</v>
      </c>
      <c r="AD23" s="106"/>
      <c r="AE23" s="106" t="s">
        <v>202</v>
      </c>
      <c r="AF23" s="127" t="s">
        <v>313</v>
      </c>
    </row>
    <row r="24" spans="1:41" ht="32">
      <c r="A24" s="82">
        <v>17</v>
      </c>
      <c r="B24" s="94" t="s">
        <v>204</v>
      </c>
      <c r="C24" s="132" t="s">
        <v>314</v>
      </c>
      <c r="D24" s="94"/>
      <c r="E24" s="94"/>
      <c r="F24" s="252">
        <v>73000000</v>
      </c>
      <c r="G24" s="84">
        <f t="shared" si="5"/>
        <v>44279628</v>
      </c>
      <c r="H24" s="95">
        <f>76000000-47279628</f>
        <v>28720372</v>
      </c>
      <c r="I24" s="181">
        <v>0</v>
      </c>
      <c r="J24" s="96">
        <f>H24+I24</f>
        <v>28720372</v>
      </c>
      <c r="K24" s="253"/>
      <c r="L24" s="97"/>
      <c r="M24" s="88"/>
      <c r="N24" s="88"/>
      <c r="O24" s="88"/>
      <c r="P24" s="137">
        <v>411862.5</v>
      </c>
      <c r="Q24" s="135">
        <f>1867500+53250+64050</f>
        <v>1984800</v>
      </c>
      <c r="R24" s="135"/>
      <c r="S24" s="101">
        <f>285956+53250+56625</f>
        <v>395831</v>
      </c>
      <c r="T24" s="89">
        <v>246862</v>
      </c>
      <c r="U24" s="88"/>
      <c r="V24" s="88"/>
      <c r="W24" s="88"/>
      <c r="X24" s="88"/>
      <c r="Y24" s="90"/>
      <c r="Z24" s="90"/>
      <c r="AA24" s="88">
        <f t="shared" si="3"/>
        <v>3039355.5</v>
      </c>
      <c r="AB24" s="88">
        <f t="shared" si="2"/>
        <v>10.582577064113236</v>
      </c>
      <c r="AC24" s="84">
        <f t="shared" si="4"/>
        <v>25681016.5</v>
      </c>
      <c r="AD24" s="98"/>
      <c r="AE24" s="98" t="s">
        <v>202</v>
      </c>
      <c r="AF24" s="112" t="s">
        <v>315</v>
      </c>
    </row>
    <row r="25" spans="1:41" ht="18.5">
      <c r="A25" s="93">
        <v>20</v>
      </c>
      <c r="B25" s="94" t="s">
        <v>206</v>
      </c>
      <c r="C25" s="132" t="s">
        <v>314</v>
      </c>
      <c r="D25" s="94"/>
      <c r="E25" s="94"/>
      <c r="F25" s="252">
        <v>20680085</v>
      </c>
      <c r="G25" s="84">
        <f t="shared" si="5"/>
        <v>16246740</v>
      </c>
      <c r="H25" s="95">
        <v>4433345</v>
      </c>
      <c r="I25" s="181">
        <v>0</v>
      </c>
      <c r="J25" s="96">
        <f t="shared" ref="J25:J71" si="6">H25+I25</f>
        <v>4433345</v>
      </c>
      <c r="K25" s="253"/>
      <c r="L25" s="97"/>
      <c r="M25" s="88"/>
      <c r="N25" s="88"/>
      <c r="O25" s="88">
        <v>4433345</v>
      </c>
      <c r="P25" s="88"/>
      <c r="Q25" s="88"/>
      <c r="R25" s="88"/>
      <c r="S25" s="101"/>
      <c r="T25" s="89"/>
      <c r="U25" s="88"/>
      <c r="V25" s="88"/>
      <c r="W25" s="88"/>
      <c r="X25" s="88"/>
      <c r="Y25" s="90"/>
      <c r="Z25" s="90"/>
      <c r="AA25" s="88">
        <f t="shared" si="3"/>
        <v>4433345</v>
      </c>
      <c r="AB25" s="88">
        <f t="shared" si="2"/>
        <v>100</v>
      </c>
      <c r="AC25" s="84">
        <f t="shared" si="4"/>
        <v>0</v>
      </c>
      <c r="AD25" s="138"/>
      <c r="AE25" s="138" t="s">
        <v>202</v>
      </c>
      <c r="AF25" s="139" t="s">
        <v>207</v>
      </c>
    </row>
    <row r="26" spans="1:41" ht="18.5">
      <c r="A26" s="82">
        <v>21</v>
      </c>
      <c r="B26" s="94" t="s">
        <v>208</v>
      </c>
      <c r="C26" s="132" t="s">
        <v>314</v>
      </c>
      <c r="D26" s="94"/>
      <c r="E26" s="94"/>
      <c r="F26" s="252">
        <v>3018195</v>
      </c>
      <c r="G26" s="84">
        <f t="shared" si="5"/>
        <v>2317975</v>
      </c>
      <c r="H26" s="95">
        <v>700220</v>
      </c>
      <c r="I26" s="181">
        <v>0</v>
      </c>
      <c r="J26" s="96">
        <f t="shared" si="6"/>
        <v>700220</v>
      </c>
      <c r="K26" s="253"/>
      <c r="L26" s="128"/>
      <c r="M26" s="101"/>
      <c r="N26" s="101"/>
      <c r="O26" s="88"/>
      <c r="P26" s="88"/>
      <c r="Q26" s="101"/>
      <c r="R26" s="101"/>
      <c r="S26" s="101"/>
      <c r="T26" s="89"/>
      <c r="U26" s="101"/>
      <c r="V26" s="101"/>
      <c r="W26" s="101"/>
      <c r="X26" s="101"/>
      <c r="Y26" s="105"/>
      <c r="Z26" s="105"/>
      <c r="AA26" s="88">
        <f t="shared" si="3"/>
        <v>0</v>
      </c>
      <c r="AB26" s="88">
        <f t="shared" si="2"/>
        <v>0</v>
      </c>
      <c r="AC26" s="84">
        <f t="shared" si="4"/>
        <v>700220</v>
      </c>
      <c r="AD26" s="106"/>
      <c r="AE26" s="106" t="s">
        <v>168</v>
      </c>
      <c r="AF26" s="107"/>
    </row>
    <row r="27" spans="1:41" ht="18.5">
      <c r="A27" s="93">
        <v>22</v>
      </c>
      <c r="B27" s="94" t="s">
        <v>209</v>
      </c>
      <c r="C27" s="132" t="s">
        <v>314</v>
      </c>
      <c r="D27" s="94"/>
      <c r="E27" s="94"/>
      <c r="F27" s="252">
        <v>5232770</v>
      </c>
      <c r="G27" s="84">
        <f t="shared" si="5"/>
        <v>2902732</v>
      </c>
      <c r="H27" s="95">
        <v>2330038</v>
      </c>
      <c r="I27" s="181">
        <v>0</v>
      </c>
      <c r="J27" s="96">
        <f t="shared" si="6"/>
        <v>2330038</v>
      </c>
      <c r="K27" s="253"/>
      <c r="L27" s="128"/>
      <c r="M27" s="101"/>
      <c r="N27" s="101"/>
      <c r="O27" s="88"/>
      <c r="P27" s="88"/>
      <c r="Q27" s="101"/>
      <c r="R27" s="101"/>
      <c r="S27" s="101"/>
      <c r="T27" s="89"/>
      <c r="U27" s="101"/>
      <c r="V27" s="101"/>
      <c r="W27" s="101"/>
      <c r="X27" s="101"/>
      <c r="Y27" s="105"/>
      <c r="Z27" s="105"/>
      <c r="AA27" s="88">
        <f t="shared" si="3"/>
        <v>0</v>
      </c>
      <c r="AB27" s="88">
        <f t="shared" si="2"/>
        <v>0</v>
      </c>
      <c r="AC27" s="84">
        <f t="shared" si="4"/>
        <v>2330038</v>
      </c>
      <c r="AD27" s="106"/>
      <c r="AE27" s="106" t="s">
        <v>168</v>
      </c>
      <c r="AF27" s="107"/>
      <c r="AK27" s="400"/>
      <c r="AL27" s="400"/>
      <c r="AN27" s="400"/>
      <c r="AO27" s="400"/>
    </row>
    <row r="28" spans="1:41" ht="37">
      <c r="A28" s="82">
        <v>18</v>
      </c>
      <c r="B28" s="132" t="s">
        <v>210</v>
      </c>
      <c r="C28" s="132" t="s">
        <v>316</v>
      </c>
      <c r="D28" s="104"/>
      <c r="E28" s="258">
        <v>45748</v>
      </c>
      <c r="F28" s="252">
        <v>10788650</v>
      </c>
      <c r="G28" s="84">
        <f t="shared" ref="G28:G33" si="7">F28-H28-I28</f>
        <v>0</v>
      </c>
      <c r="H28" s="140">
        <v>0</v>
      </c>
      <c r="I28" s="141">
        <v>10788650</v>
      </c>
      <c r="J28" s="96">
        <f>H28+I28</f>
        <v>10788650</v>
      </c>
      <c r="K28" s="259">
        <v>45762</v>
      </c>
      <c r="L28" s="97">
        <v>0</v>
      </c>
      <c r="M28" s="97">
        <v>3385398</v>
      </c>
      <c r="N28" s="86">
        <v>583224</v>
      </c>
      <c r="O28" s="134">
        <v>11281</v>
      </c>
      <c r="P28" s="134">
        <f>911140-360278</f>
        <v>550862</v>
      </c>
      <c r="Q28" s="86">
        <v>185914</v>
      </c>
      <c r="R28" s="86"/>
      <c r="S28" s="135">
        <f>309498+185914+228365</f>
        <v>723777</v>
      </c>
      <c r="T28" s="100"/>
      <c r="U28" s="86">
        <v>583224</v>
      </c>
      <c r="V28" s="86"/>
      <c r="W28" s="86"/>
      <c r="X28" s="135"/>
      <c r="Y28" s="142">
        <v>185914</v>
      </c>
      <c r="Z28" s="142"/>
      <c r="AA28" s="88">
        <f t="shared" si="3"/>
        <v>4671318</v>
      </c>
      <c r="AB28" s="260">
        <f t="shared" si="2"/>
        <v>43.298447905901114</v>
      </c>
      <c r="AC28" s="84">
        <f t="shared" si="4"/>
        <v>6117332</v>
      </c>
      <c r="AD28" s="106" t="s">
        <v>179</v>
      </c>
      <c r="AE28" s="143" t="s">
        <v>211</v>
      </c>
      <c r="AF28" s="127" t="s">
        <v>212</v>
      </c>
      <c r="AL28" s="144"/>
      <c r="AO28" s="144"/>
    </row>
    <row r="29" spans="1:41" ht="37">
      <c r="A29" s="93">
        <v>19</v>
      </c>
      <c r="B29" s="132" t="s">
        <v>213</v>
      </c>
      <c r="C29" s="132" t="s">
        <v>316</v>
      </c>
      <c r="D29" s="104"/>
      <c r="E29" s="258">
        <v>45748</v>
      </c>
      <c r="F29" s="252">
        <v>5232900</v>
      </c>
      <c r="G29" s="84">
        <f t="shared" si="7"/>
        <v>0</v>
      </c>
      <c r="H29" s="140">
        <v>0</v>
      </c>
      <c r="I29" s="141">
        <f>3700000+1532900</f>
        <v>5232900</v>
      </c>
      <c r="J29" s="96">
        <f t="shared" si="6"/>
        <v>5232900</v>
      </c>
      <c r="K29" s="259">
        <v>45805</v>
      </c>
      <c r="L29" s="97" t="s">
        <v>126</v>
      </c>
      <c r="M29" s="88">
        <v>1376859</v>
      </c>
      <c r="N29" s="86">
        <v>300933</v>
      </c>
      <c r="O29" s="134"/>
      <c r="P29" s="134">
        <v>219678</v>
      </c>
      <c r="Q29" s="86">
        <v>1934090</v>
      </c>
      <c r="R29" s="86"/>
      <c r="S29" s="135">
        <f>182498+165482</f>
        <v>347980</v>
      </c>
      <c r="T29" s="100"/>
      <c r="U29" s="86"/>
      <c r="V29" s="86"/>
      <c r="W29" s="86"/>
      <c r="X29" s="135"/>
      <c r="Y29" s="136"/>
      <c r="Z29" s="136"/>
      <c r="AA29" s="88">
        <f t="shared" si="3"/>
        <v>4179540</v>
      </c>
      <c r="AB29" s="260">
        <f t="shared" si="2"/>
        <v>79.870435131571398</v>
      </c>
      <c r="AC29" s="84">
        <f t="shared" si="4"/>
        <v>1053360</v>
      </c>
      <c r="AD29" s="106"/>
      <c r="AE29" s="106" t="s">
        <v>185</v>
      </c>
      <c r="AF29" s="127" t="s">
        <v>214</v>
      </c>
      <c r="AL29" s="144"/>
      <c r="AO29" s="144"/>
    </row>
    <row r="30" spans="1:41" ht="32">
      <c r="A30" s="82">
        <v>20</v>
      </c>
      <c r="B30" s="94" t="s">
        <v>215</v>
      </c>
      <c r="C30" s="132" t="s">
        <v>316</v>
      </c>
      <c r="D30" s="104"/>
      <c r="E30" s="258">
        <v>45748</v>
      </c>
      <c r="F30" s="252">
        <v>5247334</v>
      </c>
      <c r="G30" s="84">
        <f t="shared" si="7"/>
        <v>0</v>
      </c>
      <c r="H30" s="140">
        <v>0</v>
      </c>
      <c r="I30" s="141">
        <v>5247334</v>
      </c>
      <c r="J30" s="96">
        <f t="shared" si="6"/>
        <v>5247334</v>
      </c>
      <c r="K30" s="259">
        <v>45788</v>
      </c>
      <c r="L30" s="97" t="s">
        <v>126</v>
      </c>
      <c r="M30" s="88">
        <v>2191333</v>
      </c>
      <c r="N30" s="86">
        <v>490918</v>
      </c>
      <c r="O30" s="134"/>
      <c r="P30" s="134">
        <v>625792</v>
      </c>
      <c r="Q30" s="86">
        <v>567165</v>
      </c>
      <c r="R30" s="86"/>
      <c r="S30" s="135">
        <v>208134</v>
      </c>
      <c r="T30" s="100"/>
      <c r="U30" s="86">
        <v>490918</v>
      </c>
      <c r="V30" s="86"/>
      <c r="W30" s="86"/>
      <c r="X30" s="135"/>
      <c r="Y30" s="136"/>
      <c r="Z30" s="136"/>
      <c r="AA30" s="88">
        <f t="shared" si="3"/>
        <v>3592424</v>
      </c>
      <c r="AB30" s="260">
        <f t="shared" si="2"/>
        <v>68.461889408983694</v>
      </c>
      <c r="AC30" s="84">
        <f t="shared" si="4"/>
        <v>1654910</v>
      </c>
      <c r="AD30" s="106"/>
      <c r="AE30" s="143" t="s">
        <v>211</v>
      </c>
      <c r="AF30" s="127" t="s">
        <v>212</v>
      </c>
      <c r="AL30" s="144"/>
      <c r="AO30" s="144"/>
    </row>
    <row r="31" spans="1:41" ht="18.5">
      <c r="A31" s="93">
        <v>21</v>
      </c>
      <c r="B31" s="94" t="s">
        <v>216</v>
      </c>
      <c r="C31" s="132" t="s">
        <v>316</v>
      </c>
      <c r="D31" s="94"/>
      <c r="E31" s="258">
        <v>45748</v>
      </c>
      <c r="F31" s="252">
        <v>2728200</v>
      </c>
      <c r="G31" s="84">
        <f t="shared" si="7"/>
        <v>0</v>
      </c>
      <c r="H31" s="145">
        <v>0</v>
      </c>
      <c r="I31" s="141">
        <v>2728200</v>
      </c>
      <c r="J31" s="96">
        <f t="shared" si="6"/>
        <v>2728200</v>
      </c>
      <c r="K31" s="259">
        <v>45859</v>
      </c>
      <c r="L31" s="97"/>
      <c r="M31" s="88"/>
      <c r="N31" s="88"/>
      <c r="O31" s="88"/>
      <c r="P31" s="88"/>
      <c r="Q31" s="140">
        <v>236577</v>
      </c>
      <c r="R31" s="88"/>
      <c r="S31" s="101">
        <v>840924</v>
      </c>
      <c r="T31" s="89">
        <v>134964</v>
      </c>
      <c r="U31" s="88"/>
      <c r="V31" s="88"/>
      <c r="W31" s="88"/>
      <c r="X31" s="88"/>
      <c r="Y31" s="90"/>
      <c r="Z31" s="90"/>
      <c r="AA31" s="88">
        <f t="shared" si="3"/>
        <v>1212465</v>
      </c>
      <c r="AB31" s="260">
        <f t="shared" si="2"/>
        <v>44.441939740488237</v>
      </c>
      <c r="AC31" s="84">
        <f t="shared" si="4"/>
        <v>1515735</v>
      </c>
      <c r="AD31" s="98"/>
      <c r="AE31" s="98" t="s">
        <v>202</v>
      </c>
      <c r="AF31" s="99" t="s">
        <v>317</v>
      </c>
      <c r="AL31" s="144"/>
    </row>
    <row r="32" spans="1:41" s="147" customFormat="1" ht="37">
      <c r="A32" s="146">
        <v>27</v>
      </c>
      <c r="B32" s="261" t="s">
        <v>217</v>
      </c>
      <c r="C32" s="132" t="s">
        <v>318</v>
      </c>
      <c r="D32" s="262"/>
      <c r="E32" s="258">
        <v>45748</v>
      </c>
      <c r="F32" s="263">
        <v>230765</v>
      </c>
      <c r="G32" s="84">
        <f t="shared" si="7"/>
        <v>0</v>
      </c>
      <c r="H32" s="264">
        <v>0</v>
      </c>
      <c r="I32" s="265">
        <f>120765+110000</f>
        <v>230765</v>
      </c>
      <c r="J32" s="266">
        <f t="shared" si="6"/>
        <v>230765</v>
      </c>
      <c r="K32" s="267"/>
      <c r="L32" s="268">
        <v>55100</v>
      </c>
      <c r="M32" s="269">
        <v>-55000</v>
      </c>
      <c r="N32" s="155"/>
      <c r="O32" s="155"/>
      <c r="P32" s="269"/>
      <c r="Q32" s="155"/>
      <c r="R32" s="155"/>
      <c r="S32" s="270"/>
      <c r="T32" s="156">
        <v>55000</v>
      </c>
      <c r="U32" s="269"/>
      <c r="V32" s="269"/>
      <c r="W32" s="269"/>
      <c r="X32" s="269"/>
      <c r="Y32" s="157"/>
      <c r="Z32" s="157"/>
      <c r="AA32" s="88">
        <f t="shared" si="3"/>
        <v>55100</v>
      </c>
      <c r="AB32" s="260">
        <f t="shared" si="2"/>
        <v>23.877104413580916</v>
      </c>
      <c r="AC32" s="84">
        <f t="shared" si="4"/>
        <v>175665</v>
      </c>
      <c r="AD32" s="271"/>
      <c r="AE32" s="271" t="s">
        <v>218</v>
      </c>
      <c r="AF32" s="272" t="s">
        <v>219</v>
      </c>
    </row>
    <row r="33" spans="1:38" s="160" customFormat="1" ht="18.5">
      <c r="A33" s="148">
        <v>22</v>
      </c>
      <c r="B33" s="149" t="s">
        <v>220</v>
      </c>
      <c r="C33" s="132" t="s">
        <v>318</v>
      </c>
      <c r="D33" s="150">
        <v>0</v>
      </c>
      <c r="E33" s="150"/>
      <c r="F33" s="273">
        <v>10920</v>
      </c>
      <c r="G33" s="84">
        <f t="shared" si="7"/>
        <v>0</v>
      </c>
      <c r="H33" s="151">
        <v>0</v>
      </c>
      <c r="I33" s="152">
        <v>10920</v>
      </c>
      <c r="J33" s="153">
        <f t="shared" si="6"/>
        <v>10920</v>
      </c>
      <c r="K33" s="274"/>
      <c r="L33" s="154">
        <v>10920</v>
      </c>
      <c r="M33" s="155">
        <v>0</v>
      </c>
      <c r="N33" s="155">
        <v>0</v>
      </c>
      <c r="O33" s="155"/>
      <c r="P33" s="155"/>
      <c r="Q33" s="155"/>
      <c r="R33" s="155"/>
      <c r="S33" s="270"/>
      <c r="T33" s="156"/>
      <c r="U33" s="155"/>
      <c r="V33" s="155"/>
      <c r="W33" s="155"/>
      <c r="X33" s="155"/>
      <c r="Y33" s="157"/>
      <c r="Z33" s="157"/>
      <c r="AA33" s="88">
        <f t="shared" si="3"/>
        <v>10920</v>
      </c>
      <c r="AB33" s="260">
        <f t="shared" si="2"/>
        <v>100</v>
      </c>
      <c r="AC33" s="84">
        <f t="shared" si="4"/>
        <v>0</v>
      </c>
      <c r="AD33" s="158"/>
      <c r="AE33" s="158"/>
      <c r="AF33" s="159" t="s">
        <v>207</v>
      </c>
      <c r="AL33" s="161"/>
    </row>
    <row r="34" spans="1:38" ht="18.5">
      <c r="A34" s="82">
        <v>28</v>
      </c>
      <c r="B34" s="94" t="s">
        <v>221</v>
      </c>
      <c r="C34" s="132" t="s">
        <v>318</v>
      </c>
      <c r="D34" s="94"/>
      <c r="E34" s="94"/>
      <c r="F34" s="252">
        <v>17990</v>
      </c>
      <c r="G34" s="84">
        <f>F34-H34</f>
        <v>0</v>
      </c>
      <c r="H34" s="145">
        <v>17990</v>
      </c>
      <c r="I34" s="141">
        <v>0</v>
      </c>
      <c r="J34" s="96">
        <f t="shared" si="6"/>
        <v>17990</v>
      </c>
      <c r="K34" s="253"/>
      <c r="L34" s="128">
        <v>17990</v>
      </c>
      <c r="M34" s="88"/>
      <c r="N34" s="88"/>
      <c r="O34" s="88"/>
      <c r="P34" s="88"/>
      <c r="Q34" s="88"/>
      <c r="R34" s="88"/>
      <c r="S34" s="101"/>
      <c r="T34" s="89"/>
      <c r="U34" s="88"/>
      <c r="V34" s="88"/>
      <c r="W34" s="88"/>
      <c r="X34" s="88"/>
      <c r="Y34" s="90"/>
      <c r="Z34" s="90"/>
      <c r="AA34" s="88">
        <f t="shared" si="3"/>
        <v>17990</v>
      </c>
      <c r="AB34" s="260">
        <f t="shared" si="2"/>
        <v>100</v>
      </c>
      <c r="AC34" s="84">
        <f t="shared" si="4"/>
        <v>0</v>
      </c>
      <c r="AD34" s="121"/>
      <c r="AE34" s="121" t="s">
        <v>218</v>
      </c>
      <c r="AF34" s="162" t="s">
        <v>207</v>
      </c>
      <c r="AL34" s="103"/>
    </row>
    <row r="35" spans="1:38" ht="18.5">
      <c r="A35" s="82">
        <v>29</v>
      </c>
      <c r="B35" s="94" t="s">
        <v>222</v>
      </c>
      <c r="C35" s="132" t="s">
        <v>318</v>
      </c>
      <c r="D35" s="94"/>
      <c r="E35" s="94"/>
      <c r="F35" s="252">
        <v>17990</v>
      </c>
      <c r="G35" s="84">
        <f>F35-H35</f>
        <v>-9010</v>
      </c>
      <c r="H35" s="145">
        <v>27000</v>
      </c>
      <c r="I35" s="141">
        <v>0</v>
      </c>
      <c r="J35" s="163">
        <f t="shared" si="6"/>
        <v>27000</v>
      </c>
      <c r="K35" s="253"/>
      <c r="L35" s="128">
        <v>27000</v>
      </c>
      <c r="M35" s="88">
        <v>0</v>
      </c>
      <c r="N35" s="88"/>
      <c r="O35" s="88"/>
      <c r="P35" s="88"/>
      <c r="Q35" s="88"/>
      <c r="R35" s="88"/>
      <c r="S35" s="101"/>
      <c r="T35" s="89"/>
      <c r="U35" s="88"/>
      <c r="V35" s="88"/>
      <c r="W35" s="88"/>
      <c r="X35" s="88"/>
      <c r="Y35" s="90"/>
      <c r="Z35" s="90"/>
      <c r="AA35" s="88">
        <f t="shared" si="3"/>
        <v>27000</v>
      </c>
      <c r="AB35" s="260">
        <f t="shared" si="2"/>
        <v>100</v>
      </c>
      <c r="AC35" s="84">
        <f t="shared" si="4"/>
        <v>0</v>
      </c>
      <c r="AD35" s="121"/>
      <c r="AE35" s="121" t="s">
        <v>189</v>
      </c>
      <c r="AF35" s="162" t="s">
        <v>207</v>
      </c>
      <c r="AL35" s="103"/>
    </row>
    <row r="36" spans="1:38" ht="18.5">
      <c r="A36" s="93">
        <v>30</v>
      </c>
      <c r="B36" s="94" t="s">
        <v>186</v>
      </c>
      <c r="C36" s="132" t="s">
        <v>318</v>
      </c>
      <c r="D36" s="94"/>
      <c r="E36" s="275">
        <v>45748</v>
      </c>
      <c r="F36" s="252">
        <v>184741</v>
      </c>
      <c r="G36" s="84">
        <f>F36-H36-I36</f>
        <v>0</v>
      </c>
      <c r="H36" s="145">
        <v>0</v>
      </c>
      <c r="I36" s="140">
        <v>184741</v>
      </c>
      <c r="J36" s="95">
        <f t="shared" si="6"/>
        <v>184741</v>
      </c>
      <c r="K36" s="275"/>
      <c r="L36" s="140">
        <f>132710+23850-100</f>
        <v>156460</v>
      </c>
      <c r="M36" s="145">
        <v>0</v>
      </c>
      <c r="N36" s="145"/>
      <c r="O36" s="164"/>
      <c r="P36" s="164"/>
      <c r="Q36" s="164"/>
      <c r="R36" s="164"/>
      <c r="S36" s="101"/>
      <c r="T36" s="89"/>
      <c r="U36" s="164"/>
      <c r="V36" s="164"/>
      <c r="W36" s="164"/>
      <c r="X36" s="88"/>
      <c r="Y36" s="90"/>
      <c r="Z36" s="90"/>
      <c r="AA36" s="88">
        <f t="shared" si="3"/>
        <v>156460</v>
      </c>
      <c r="AB36" s="260">
        <f t="shared" si="2"/>
        <v>84.691541130555748</v>
      </c>
      <c r="AC36" s="84">
        <f t="shared" si="4"/>
        <v>28281</v>
      </c>
      <c r="AD36" s="98"/>
      <c r="AE36" s="98" t="s">
        <v>187</v>
      </c>
      <c r="AF36" s="99"/>
      <c r="AL36" s="103"/>
    </row>
    <row r="37" spans="1:38" ht="18.5">
      <c r="A37" s="165">
        <v>31</v>
      </c>
      <c r="B37" s="166" t="s">
        <v>223</v>
      </c>
      <c r="C37" s="178" t="s">
        <v>316</v>
      </c>
      <c r="D37" s="166"/>
      <c r="E37" s="275">
        <v>45798</v>
      </c>
      <c r="F37" s="276">
        <f>I37</f>
        <v>1873300</v>
      </c>
      <c r="G37" s="84">
        <f>F37-H37-I37</f>
        <v>0</v>
      </c>
      <c r="H37" s="167">
        <v>0</v>
      </c>
      <c r="I37" s="168">
        <f>14410*130</f>
        <v>1873300</v>
      </c>
      <c r="J37" s="95">
        <f t="shared" si="6"/>
        <v>1873300</v>
      </c>
      <c r="K37" s="277">
        <v>45780</v>
      </c>
      <c r="L37" s="168">
        <v>360250</v>
      </c>
      <c r="M37" s="168">
        <v>936650</v>
      </c>
      <c r="N37" s="168">
        <v>576400</v>
      </c>
      <c r="O37" s="169"/>
      <c r="P37" s="169"/>
      <c r="Q37" s="170"/>
      <c r="R37" s="170"/>
      <c r="S37" s="172"/>
      <c r="T37" s="171"/>
      <c r="U37" s="170"/>
      <c r="V37" s="170"/>
      <c r="W37" s="170"/>
      <c r="X37" s="172"/>
      <c r="Y37" s="173"/>
      <c r="Z37" s="173"/>
      <c r="AA37" s="88">
        <f t="shared" si="3"/>
        <v>1873300</v>
      </c>
      <c r="AB37" s="260">
        <f t="shared" si="2"/>
        <v>100</v>
      </c>
      <c r="AC37" s="84">
        <f t="shared" si="4"/>
        <v>0</v>
      </c>
      <c r="AD37" s="174"/>
      <c r="AE37" s="174" t="s">
        <v>224</v>
      </c>
      <c r="AF37" s="175" t="s">
        <v>207</v>
      </c>
      <c r="AL37" s="103"/>
    </row>
    <row r="38" spans="1:38" ht="18.5">
      <c r="A38" s="94">
        <v>32</v>
      </c>
      <c r="B38" s="94" t="s">
        <v>225</v>
      </c>
      <c r="C38" s="132" t="s">
        <v>318</v>
      </c>
      <c r="D38" s="94" t="s">
        <v>226</v>
      </c>
      <c r="E38" s="275">
        <v>45769</v>
      </c>
      <c r="F38" s="252">
        <f>I38</f>
        <v>263090</v>
      </c>
      <c r="G38" s="84">
        <f>F38-H38-I38</f>
        <v>0</v>
      </c>
      <c r="H38" s="140">
        <v>0</v>
      </c>
      <c r="I38" s="140">
        <v>263090</v>
      </c>
      <c r="J38" s="95">
        <f t="shared" si="6"/>
        <v>263090</v>
      </c>
      <c r="K38" s="275"/>
      <c r="L38" s="145">
        <v>0</v>
      </c>
      <c r="M38" s="145">
        <v>263090</v>
      </c>
      <c r="N38" s="145"/>
      <c r="O38" s="164"/>
      <c r="P38" s="164"/>
      <c r="Q38" s="164"/>
      <c r="R38" s="164"/>
      <c r="S38" s="101"/>
      <c r="T38" s="89"/>
      <c r="U38" s="164"/>
      <c r="V38" s="164"/>
      <c r="W38" s="164"/>
      <c r="X38" s="88"/>
      <c r="Y38" s="90"/>
      <c r="Z38" s="90"/>
      <c r="AA38" s="88">
        <f t="shared" si="3"/>
        <v>263090</v>
      </c>
      <c r="AB38" s="260">
        <f t="shared" si="2"/>
        <v>100</v>
      </c>
      <c r="AC38" s="84">
        <f t="shared" si="4"/>
        <v>0</v>
      </c>
      <c r="AD38" s="121"/>
      <c r="AE38" s="121" t="s">
        <v>227</v>
      </c>
      <c r="AF38" s="162" t="s">
        <v>207</v>
      </c>
      <c r="AL38" s="103"/>
    </row>
    <row r="39" spans="1:38" ht="18.5">
      <c r="A39" s="104">
        <v>33</v>
      </c>
      <c r="B39" s="94" t="s">
        <v>228</v>
      </c>
      <c r="C39" s="132" t="s">
        <v>318</v>
      </c>
      <c r="D39" s="94" t="s">
        <v>229</v>
      </c>
      <c r="E39" s="275">
        <v>45792</v>
      </c>
      <c r="F39" s="252">
        <f>I39</f>
        <v>125000</v>
      </c>
      <c r="G39" s="84">
        <f>F39-H39-0</f>
        <v>125000</v>
      </c>
      <c r="H39" s="140">
        <v>0</v>
      </c>
      <c r="I39" s="140">
        <v>125000</v>
      </c>
      <c r="J39" s="278">
        <f t="shared" si="6"/>
        <v>125000</v>
      </c>
      <c r="K39" s="258"/>
      <c r="L39" s="140"/>
      <c r="M39" s="140">
        <v>0</v>
      </c>
      <c r="N39" s="140">
        <v>125000</v>
      </c>
      <c r="O39" s="164"/>
      <c r="P39" s="164"/>
      <c r="Q39" s="181"/>
      <c r="R39" s="181"/>
      <c r="S39" s="101"/>
      <c r="T39" s="89"/>
      <c r="U39" s="181"/>
      <c r="V39" s="181"/>
      <c r="W39" s="181"/>
      <c r="X39" s="101"/>
      <c r="Y39" s="105"/>
      <c r="Z39" s="105"/>
      <c r="AA39" s="88">
        <f t="shared" si="3"/>
        <v>125000</v>
      </c>
      <c r="AB39" s="260">
        <f t="shared" si="2"/>
        <v>100</v>
      </c>
      <c r="AC39" s="84">
        <f t="shared" si="4"/>
        <v>0</v>
      </c>
      <c r="AD39" s="106"/>
      <c r="AE39" s="106"/>
      <c r="AF39" s="107" t="s">
        <v>207</v>
      </c>
      <c r="AL39" s="103"/>
    </row>
    <row r="40" spans="1:38" ht="37">
      <c r="A40" s="166">
        <v>22</v>
      </c>
      <c r="B40" s="178" t="s">
        <v>230</v>
      </c>
      <c r="C40" s="178" t="s">
        <v>316</v>
      </c>
      <c r="D40" s="178" t="s">
        <v>231</v>
      </c>
      <c r="E40" s="279">
        <v>45789</v>
      </c>
      <c r="F40" s="276">
        <v>8005040</v>
      </c>
      <c r="G40" s="84">
        <f t="shared" ref="G40:G48" si="8">F40-H40-I40</f>
        <v>0</v>
      </c>
      <c r="H40" s="168">
        <v>0</v>
      </c>
      <c r="I40" s="168">
        <v>8005040</v>
      </c>
      <c r="J40" s="179">
        <f t="shared" si="6"/>
        <v>8005040</v>
      </c>
      <c r="K40" s="277">
        <v>45819</v>
      </c>
      <c r="L40" s="167"/>
      <c r="M40" s="167"/>
      <c r="N40" s="167"/>
      <c r="O40" s="145">
        <v>3079200</v>
      </c>
      <c r="P40" s="145"/>
      <c r="Q40" s="140">
        <v>3869952</v>
      </c>
      <c r="R40" s="140"/>
      <c r="S40" s="101"/>
      <c r="T40" s="89"/>
      <c r="U40" s="145"/>
      <c r="V40" s="145"/>
      <c r="W40" s="145"/>
      <c r="X40" s="88"/>
      <c r="Y40" s="90"/>
      <c r="Z40" s="90"/>
      <c r="AA40" s="88">
        <f t="shared" si="3"/>
        <v>6949152</v>
      </c>
      <c r="AB40" s="260">
        <f t="shared" si="2"/>
        <v>86.809709882773859</v>
      </c>
      <c r="AC40" s="84">
        <f t="shared" si="4"/>
        <v>1055888</v>
      </c>
      <c r="AD40" s="180"/>
      <c r="AE40" s="180"/>
      <c r="AF40" s="280" t="s">
        <v>319</v>
      </c>
      <c r="AL40" s="103"/>
    </row>
    <row r="41" spans="1:38" ht="32">
      <c r="A41" s="94">
        <v>35</v>
      </c>
      <c r="B41" s="94" t="s">
        <v>232</v>
      </c>
      <c r="C41" s="132" t="s">
        <v>316</v>
      </c>
      <c r="D41" s="94"/>
      <c r="E41" s="275">
        <v>45803</v>
      </c>
      <c r="F41" s="252">
        <v>1050457</v>
      </c>
      <c r="G41" s="84">
        <f t="shared" si="8"/>
        <v>0</v>
      </c>
      <c r="H41" s="145">
        <v>0</v>
      </c>
      <c r="I41" s="140">
        <f>494867+555590</f>
        <v>1050457</v>
      </c>
      <c r="J41" s="95">
        <f t="shared" si="6"/>
        <v>1050457</v>
      </c>
      <c r="K41" s="275">
        <v>45812</v>
      </c>
      <c r="L41" s="145"/>
      <c r="M41" s="145"/>
      <c r="N41" s="145"/>
      <c r="O41" s="145"/>
      <c r="P41" s="145">
        <f>425481+323402+329278</f>
        <v>1078161</v>
      </c>
      <c r="Q41" s="140"/>
      <c r="R41" s="140"/>
      <c r="S41" s="101"/>
      <c r="T41" s="89"/>
      <c r="U41" s="145"/>
      <c r="V41" s="145">
        <v>329278</v>
      </c>
      <c r="W41" s="145"/>
      <c r="X41" s="88"/>
      <c r="Y41" s="90"/>
      <c r="Z41" s="90"/>
      <c r="AA41" s="88">
        <f t="shared" si="3"/>
        <v>748883</v>
      </c>
      <c r="AB41" s="260">
        <f t="shared" si="2"/>
        <v>71.291161846701016</v>
      </c>
      <c r="AC41" s="84">
        <f t="shared" si="4"/>
        <v>301574</v>
      </c>
      <c r="AD41" s="98"/>
      <c r="AE41" s="98"/>
      <c r="AF41" s="112" t="s">
        <v>233</v>
      </c>
      <c r="AL41" s="103"/>
    </row>
    <row r="42" spans="1:38" ht="37">
      <c r="A42" s="94">
        <v>36</v>
      </c>
      <c r="B42" s="132" t="s">
        <v>234</v>
      </c>
      <c r="C42" s="132" t="s">
        <v>318</v>
      </c>
      <c r="D42" s="94" t="s">
        <v>126</v>
      </c>
      <c r="E42" s="94"/>
      <c r="F42" s="252">
        <f>I42</f>
        <v>10000</v>
      </c>
      <c r="G42" s="84">
        <f t="shared" si="8"/>
        <v>0</v>
      </c>
      <c r="H42" s="145">
        <v>0</v>
      </c>
      <c r="I42" s="140">
        <v>10000</v>
      </c>
      <c r="J42" s="95">
        <f t="shared" si="6"/>
        <v>10000</v>
      </c>
      <c r="K42" s="95"/>
      <c r="L42" s="145"/>
      <c r="M42" s="145"/>
      <c r="N42" s="140">
        <v>10000</v>
      </c>
      <c r="O42" s="145"/>
      <c r="P42" s="164"/>
      <c r="Q42" s="181"/>
      <c r="R42" s="181"/>
      <c r="S42" s="101"/>
      <c r="T42" s="89"/>
      <c r="U42" s="181"/>
      <c r="V42" s="181"/>
      <c r="W42" s="181"/>
      <c r="X42" s="101"/>
      <c r="Y42" s="105"/>
      <c r="Z42" s="105"/>
      <c r="AA42" s="88">
        <f t="shared" si="3"/>
        <v>10000</v>
      </c>
      <c r="AB42" s="260">
        <f t="shared" si="2"/>
        <v>100</v>
      </c>
      <c r="AC42" s="84">
        <f t="shared" si="4"/>
        <v>0</v>
      </c>
      <c r="AD42" s="138"/>
      <c r="AE42" s="138"/>
      <c r="AF42" s="139" t="s">
        <v>207</v>
      </c>
      <c r="AL42" s="103"/>
    </row>
    <row r="43" spans="1:38" ht="18.5">
      <c r="A43" s="94">
        <v>37</v>
      </c>
      <c r="B43" s="94" t="s">
        <v>235</v>
      </c>
      <c r="C43" s="132" t="s">
        <v>318</v>
      </c>
      <c r="D43" s="94" t="s">
        <v>126</v>
      </c>
      <c r="E43" s="94"/>
      <c r="F43" s="252">
        <f>I43</f>
        <v>197750</v>
      </c>
      <c r="G43" s="84">
        <f t="shared" si="8"/>
        <v>0</v>
      </c>
      <c r="H43" s="145">
        <v>0</v>
      </c>
      <c r="I43" s="140">
        <f>5250+192500</f>
        <v>197750</v>
      </c>
      <c r="J43" s="95">
        <f t="shared" si="6"/>
        <v>197750</v>
      </c>
      <c r="K43" s="95"/>
      <c r="L43" s="145"/>
      <c r="M43" s="145"/>
      <c r="N43" s="140">
        <v>5250</v>
      </c>
      <c r="O43" s="145">
        <v>192500</v>
      </c>
      <c r="P43" s="164"/>
      <c r="Q43" s="181"/>
      <c r="R43" s="181"/>
      <c r="S43" s="101"/>
      <c r="T43" s="89"/>
      <c r="U43" s="181"/>
      <c r="V43" s="181"/>
      <c r="W43" s="181"/>
      <c r="X43" s="101"/>
      <c r="Y43" s="105"/>
      <c r="Z43" s="105"/>
      <c r="AA43" s="88">
        <f t="shared" si="3"/>
        <v>197750</v>
      </c>
      <c r="AB43" s="260">
        <f t="shared" si="2"/>
        <v>100</v>
      </c>
      <c r="AC43" s="84">
        <f t="shared" si="4"/>
        <v>0</v>
      </c>
      <c r="AD43" s="138"/>
      <c r="AE43" s="138"/>
      <c r="AF43" s="139" t="s">
        <v>207</v>
      </c>
      <c r="AL43" s="103"/>
    </row>
    <row r="44" spans="1:38" ht="18.5">
      <c r="A44" s="94">
        <v>23</v>
      </c>
      <c r="B44" s="182" t="s">
        <v>236</v>
      </c>
      <c r="C44" s="132" t="s">
        <v>316</v>
      </c>
      <c r="D44" s="94">
        <v>4900000812</v>
      </c>
      <c r="E44" s="275">
        <v>45852</v>
      </c>
      <c r="F44" s="252">
        <v>7400000</v>
      </c>
      <c r="G44" s="84">
        <f t="shared" si="8"/>
        <v>0</v>
      </c>
      <c r="H44" s="145"/>
      <c r="I44" s="281">
        <v>7400000</v>
      </c>
      <c r="J44" s="95">
        <f t="shared" si="6"/>
        <v>7400000</v>
      </c>
      <c r="K44" s="275">
        <v>45987</v>
      </c>
      <c r="L44" s="145"/>
      <c r="M44" s="145"/>
      <c r="N44" s="140"/>
      <c r="O44" s="145"/>
      <c r="P44" s="145"/>
      <c r="Q44" s="140"/>
      <c r="R44" s="140"/>
      <c r="S44" s="101">
        <v>1816482</v>
      </c>
      <c r="T44" s="89">
        <v>2612420</v>
      </c>
      <c r="U44" s="140"/>
      <c r="V44" s="181"/>
      <c r="W44" s="181"/>
      <c r="X44" s="101"/>
      <c r="Y44" s="105"/>
      <c r="Z44" s="105"/>
      <c r="AA44" s="88">
        <f t="shared" si="3"/>
        <v>4428902</v>
      </c>
      <c r="AB44" s="260">
        <f t="shared" si="2"/>
        <v>59.850027027027032</v>
      </c>
      <c r="AC44" s="84">
        <f t="shared" si="4"/>
        <v>2971098</v>
      </c>
      <c r="AD44" s="98"/>
      <c r="AE44" s="98"/>
      <c r="AF44" s="99"/>
      <c r="AL44" s="103"/>
    </row>
    <row r="45" spans="1:38" ht="37">
      <c r="A45" s="94">
        <v>25</v>
      </c>
      <c r="B45" s="183" t="s">
        <v>237</v>
      </c>
      <c r="C45" s="132" t="s">
        <v>318</v>
      </c>
      <c r="D45" s="182">
        <v>4561970433</v>
      </c>
      <c r="E45" s="182"/>
      <c r="F45" s="282">
        <f>I45</f>
        <v>10000</v>
      </c>
      <c r="G45" s="84">
        <f t="shared" si="8"/>
        <v>0</v>
      </c>
      <c r="H45" s="145"/>
      <c r="I45" s="140">
        <v>10000</v>
      </c>
      <c r="J45" s="95">
        <f t="shared" si="6"/>
        <v>10000</v>
      </c>
      <c r="K45" s="95"/>
      <c r="L45" s="145"/>
      <c r="M45" s="145"/>
      <c r="N45" s="140"/>
      <c r="O45" s="145"/>
      <c r="P45" s="145"/>
      <c r="Q45" s="140"/>
      <c r="R45" s="140"/>
      <c r="S45" s="101"/>
      <c r="T45" s="89"/>
      <c r="U45" s="140"/>
      <c r="V45" s="181"/>
      <c r="W45" s="181"/>
      <c r="X45" s="101"/>
      <c r="Y45" s="105"/>
      <c r="Z45" s="105"/>
      <c r="AA45" s="88">
        <f t="shared" si="3"/>
        <v>0</v>
      </c>
      <c r="AB45" s="260">
        <f t="shared" si="2"/>
        <v>0</v>
      </c>
      <c r="AC45" s="84">
        <f t="shared" si="4"/>
        <v>10000</v>
      </c>
      <c r="AD45" s="98"/>
      <c r="AE45" s="98"/>
      <c r="AF45" s="99"/>
      <c r="AL45" s="103"/>
    </row>
    <row r="46" spans="1:38" ht="18.5">
      <c r="A46" s="94">
        <v>26</v>
      </c>
      <c r="B46" s="104" t="s">
        <v>238</v>
      </c>
      <c r="C46" s="132" t="s">
        <v>318</v>
      </c>
      <c r="D46" s="94">
        <v>4561931385</v>
      </c>
      <c r="E46" s="94"/>
      <c r="F46" s="252">
        <f>I46</f>
        <v>20000</v>
      </c>
      <c r="G46" s="84">
        <f t="shared" si="8"/>
        <v>0</v>
      </c>
      <c r="H46" s="145"/>
      <c r="I46" s="140">
        <v>20000</v>
      </c>
      <c r="J46" s="95">
        <f t="shared" si="6"/>
        <v>20000</v>
      </c>
      <c r="K46" s="95"/>
      <c r="L46" s="145"/>
      <c r="M46" s="145"/>
      <c r="N46" s="140"/>
      <c r="O46" s="145"/>
      <c r="P46" s="145"/>
      <c r="Q46" s="140"/>
      <c r="R46" s="140"/>
      <c r="S46" s="101"/>
      <c r="T46" s="89"/>
      <c r="U46" s="140"/>
      <c r="V46" s="181"/>
      <c r="W46" s="181"/>
      <c r="X46" s="101"/>
      <c r="Y46" s="105"/>
      <c r="Z46" s="105"/>
      <c r="AA46" s="88">
        <f t="shared" si="3"/>
        <v>0</v>
      </c>
      <c r="AB46" s="260">
        <f t="shared" si="2"/>
        <v>0</v>
      </c>
      <c r="AC46" s="84">
        <f t="shared" si="4"/>
        <v>20000</v>
      </c>
      <c r="AD46" s="98"/>
      <c r="AE46" s="98"/>
      <c r="AF46" s="99"/>
      <c r="AL46" s="103"/>
    </row>
    <row r="47" spans="1:38" ht="18.5">
      <c r="A47" s="117">
        <v>24</v>
      </c>
      <c r="B47" s="184" t="s">
        <v>239</v>
      </c>
      <c r="C47" s="132" t="s">
        <v>316</v>
      </c>
      <c r="D47" s="117">
        <v>4561964158</v>
      </c>
      <c r="E47" s="283">
        <v>45855</v>
      </c>
      <c r="F47" s="284">
        <v>1430300</v>
      </c>
      <c r="G47" s="84">
        <f t="shared" si="8"/>
        <v>0</v>
      </c>
      <c r="H47" s="185"/>
      <c r="I47" s="176">
        <v>1430300</v>
      </c>
      <c r="J47" s="119">
        <f t="shared" si="6"/>
        <v>1430300</v>
      </c>
      <c r="K47" s="283">
        <v>45867</v>
      </c>
      <c r="L47" s="185"/>
      <c r="M47" s="185"/>
      <c r="N47" s="176"/>
      <c r="O47" s="185"/>
      <c r="P47" s="185"/>
      <c r="Q47" s="176"/>
      <c r="R47" s="140">
        <v>1430300</v>
      </c>
      <c r="S47" s="101"/>
      <c r="T47" s="89"/>
      <c r="U47" s="176"/>
      <c r="V47" s="177"/>
      <c r="W47" s="177"/>
      <c r="X47" s="89"/>
      <c r="Y47" s="105"/>
      <c r="Z47" s="105"/>
      <c r="AA47" s="88">
        <f t="shared" si="3"/>
        <v>1430300</v>
      </c>
      <c r="AB47" s="285">
        <f t="shared" si="2"/>
        <v>100</v>
      </c>
      <c r="AC47" s="84">
        <f t="shared" si="4"/>
        <v>0</v>
      </c>
      <c r="AD47" s="186"/>
      <c r="AE47" s="186"/>
      <c r="AF47" s="187" t="s">
        <v>207</v>
      </c>
      <c r="AL47" s="103"/>
    </row>
    <row r="48" spans="1:38" ht="18.5">
      <c r="A48" s="94">
        <v>28</v>
      </c>
      <c r="B48" s="182" t="s">
        <v>240</v>
      </c>
      <c r="C48" s="132" t="s">
        <v>316</v>
      </c>
      <c r="D48" s="94">
        <v>40375984</v>
      </c>
      <c r="E48" s="275">
        <v>45856</v>
      </c>
      <c r="F48" s="252">
        <v>148000</v>
      </c>
      <c r="G48" s="84">
        <f t="shared" si="8"/>
        <v>0</v>
      </c>
      <c r="H48" s="145"/>
      <c r="I48" s="140">
        <v>148000</v>
      </c>
      <c r="J48" s="95">
        <f t="shared" si="6"/>
        <v>148000</v>
      </c>
      <c r="K48" s="275">
        <v>45874</v>
      </c>
      <c r="L48" s="145"/>
      <c r="M48" s="145"/>
      <c r="N48" s="140"/>
      <c r="O48" s="145"/>
      <c r="P48" s="145">
        <v>74000</v>
      </c>
      <c r="Q48" s="140"/>
      <c r="R48" s="140"/>
      <c r="S48" s="101"/>
      <c r="T48" s="89">
        <v>74000</v>
      </c>
      <c r="U48" s="140"/>
      <c r="V48" s="181"/>
      <c r="W48" s="181"/>
      <c r="X48" s="101"/>
      <c r="Y48" s="105"/>
      <c r="Z48" s="105">
        <v>74000</v>
      </c>
      <c r="AA48" s="88">
        <f t="shared" si="3"/>
        <v>74000</v>
      </c>
      <c r="AB48" s="260">
        <f t="shared" si="2"/>
        <v>50</v>
      </c>
      <c r="AC48" s="84">
        <f t="shared" si="4"/>
        <v>74000</v>
      </c>
      <c r="AD48" s="98"/>
      <c r="AE48" s="98"/>
      <c r="AF48" s="99"/>
      <c r="AL48" s="103"/>
    </row>
    <row r="49" spans="1:38" ht="32">
      <c r="A49" s="94">
        <v>29</v>
      </c>
      <c r="B49" s="182" t="s">
        <v>241</v>
      </c>
      <c r="C49" s="132" t="s">
        <v>316</v>
      </c>
      <c r="D49" s="94" t="s">
        <v>242</v>
      </c>
      <c r="E49" s="275">
        <v>45887</v>
      </c>
      <c r="F49" s="252"/>
      <c r="G49" s="84">
        <f>F49-H49</f>
        <v>0</v>
      </c>
      <c r="H49" s="145"/>
      <c r="I49" s="140">
        <v>360000</v>
      </c>
      <c r="J49" s="95">
        <f t="shared" si="6"/>
        <v>360000</v>
      </c>
      <c r="K49" s="275">
        <v>46014</v>
      </c>
      <c r="L49" s="145"/>
      <c r="M49" s="145"/>
      <c r="N49" s="140"/>
      <c r="O49" s="145"/>
      <c r="P49" s="145"/>
      <c r="Q49" s="140"/>
      <c r="R49" s="140"/>
      <c r="S49" s="101"/>
      <c r="T49" s="89"/>
      <c r="U49" s="140"/>
      <c r="V49" s="181"/>
      <c r="W49" s="181"/>
      <c r="X49" s="101"/>
      <c r="Y49" s="105"/>
      <c r="Z49" s="105"/>
      <c r="AA49" s="88">
        <f t="shared" si="3"/>
        <v>0</v>
      </c>
      <c r="AB49" s="260">
        <f t="shared" si="2"/>
        <v>0</v>
      </c>
      <c r="AC49" s="84">
        <f t="shared" si="4"/>
        <v>360000</v>
      </c>
      <c r="AD49" s="98"/>
      <c r="AE49" s="98"/>
      <c r="AF49" s="112" t="s">
        <v>320</v>
      </c>
      <c r="AL49" s="103"/>
    </row>
    <row r="50" spans="1:38" ht="92.5">
      <c r="A50" s="94">
        <v>25</v>
      </c>
      <c r="B50" s="104" t="s">
        <v>321</v>
      </c>
      <c r="C50" s="132" t="s">
        <v>316</v>
      </c>
      <c r="D50" s="188" t="s">
        <v>244</v>
      </c>
      <c r="E50" s="286">
        <v>45839</v>
      </c>
      <c r="F50" s="287">
        <f>I50</f>
        <v>10389046</v>
      </c>
      <c r="G50" s="84">
        <f>F50-H50-I50</f>
        <v>0</v>
      </c>
      <c r="H50" s="145"/>
      <c r="I50" s="140">
        <v>10389046</v>
      </c>
      <c r="J50" s="95">
        <f t="shared" si="6"/>
        <v>10389046</v>
      </c>
      <c r="K50" s="275">
        <v>45889</v>
      </c>
      <c r="L50" s="145"/>
      <c r="M50" s="145"/>
      <c r="N50" s="145"/>
      <c r="O50" s="145"/>
      <c r="P50" s="145">
        <v>5649316</v>
      </c>
      <c r="Q50" s="140">
        <v>283605</v>
      </c>
      <c r="R50" s="140"/>
      <c r="S50" s="101">
        <v>1692151</v>
      </c>
      <c r="T50" s="89">
        <v>473280</v>
      </c>
      <c r="U50" s="145"/>
      <c r="V50" s="164"/>
      <c r="W50" s="164"/>
      <c r="X50" s="88"/>
      <c r="Y50" s="90"/>
      <c r="Z50" s="90"/>
      <c r="AA50" s="88">
        <f t="shared" si="3"/>
        <v>8098352</v>
      </c>
      <c r="AB50" s="260">
        <f t="shared" si="2"/>
        <v>77.95087248627064</v>
      </c>
      <c r="AC50" s="84">
        <f t="shared" si="4"/>
        <v>2290694</v>
      </c>
      <c r="AD50" s="98"/>
      <c r="AE50" s="98"/>
      <c r="AF50" s="99" t="s">
        <v>245</v>
      </c>
      <c r="AL50" s="103"/>
    </row>
    <row r="51" spans="1:38" ht="18.5">
      <c r="A51" s="94">
        <v>45</v>
      </c>
      <c r="B51" s="104" t="s">
        <v>246</v>
      </c>
      <c r="C51" s="132" t="s">
        <v>318</v>
      </c>
      <c r="D51" s="188" t="s">
        <v>247</v>
      </c>
      <c r="E51" s="188"/>
      <c r="F51" s="287"/>
      <c r="G51" s="84">
        <f>F51-H51</f>
        <v>0</v>
      </c>
      <c r="H51" s="145"/>
      <c r="I51" s="140">
        <v>46300</v>
      </c>
      <c r="J51" s="95">
        <f t="shared" si="6"/>
        <v>46300</v>
      </c>
      <c r="K51" s="95"/>
      <c r="L51" s="145"/>
      <c r="M51" s="145"/>
      <c r="N51" s="145"/>
      <c r="O51" s="145">
        <v>46300</v>
      </c>
      <c r="P51" s="145"/>
      <c r="Q51" s="145"/>
      <c r="R51" s="145"/>
      <c r="S51" s="101"/>
      <c r="T51" s="89"/>
      <c r="U51" s="145"/>
      <c r="V51" s="164"/>
      <c r="W51" s="164"/>
      <c r="X51" s="88"/>
      <c r="Y51" s="90"/>
      <c r="Z51" s="90"/>
      <c r="AA51" s="88">
        <f t="shared" si="3"/>
        <v>46300</v>
      </c>
      <c r="AB51" s="260">
        <f t="shared" si="2"/>
        <v>100</v>
      </c>
      <c r="AC51" s="84">
        <f t="shared" si="4"/>
        <v>0</v>
      </c>
      <c r="AD51" s="138"/>
      <c r="AE51" s="138"/>
      <c r="AF51" s="139" t="s">
        <v>248</v>
      </c>
      <c r="AL51" s="103"/>
    </row>
    <row r="52" spans="1:38" ht="37">
      <c r="A52" s="94">
        <v>26</v>
      </c>
      <c r="B52" s="191" t="s">
        <v>249</v>
      </c>
      <c r="C52" s="132" t="s">
        <v>316</v>
      </c>
      <c r="D52" s="190" t="s">
        <v>250</v>
      </c>
      <c r="E52" s="288">
        <v>45890</v>
      </c>
      <c r="F52" s="289">
        <f t="shared" ref="F52:F60" si="9">I52</f>
        <v>639823</v>
      </c>
      <c r="G52" s="118">
        <f t="shared" ref="G52:G69" si="10">F52-H52-I52</f>
        <v>0</v>
      </c>
      <c r="H52" s="185"/>
      <c r="I52" s="176">
        <f>645513-5690</f>
        <v>639823</v>
      </c>
      <c r="J52" s="119">
        <f t="shared" si="6"/>
        <v>639823</v>
      </c>
      <c r="K52" s="283">
        <v>45917</v>
      </c>
      <c r="L52" s="185"/>
      <c r="M52" s="185"/>
      <c r="N52" s="185"/>
      <c r="O52" s="185"/>
      <c r="P52" s="185"/>
      <c r="Q52" s="176"/>
      <c r="R52" s="176">
        <v>153540</v>
      </c>
      <c r="S52" s="101">
        <f>541063+98760+107572.35+29848.5+117566.5</f>
        <v>894810.35</v>
      </c>
      <c r="T52" s="89"/>
      <c r="U52" s="185"/>
      <c r="V52" s="185"/>
      <c r="W52" s="185"/>
      <c r="X52" s="120"/>
      <c r="Y52" s="102">
        <v>408523.35</v>
      </c>
      <c r="Z52" s="102"/>
      <c r="AA52" s="88">
        <f t="shared" si="3"/>
        <v>639827</v>
      </c>
      <c r="AB52" s="285">
        <f t="shared" si="2"/>
        <v>100.00062517289938</v>
      </c>
      <c r="AC52" s="118">
        <f t="shared" si="4"/>
        <v>-4</v>
      </c>
      <c r="AD52" s="186"/>
      <c r="AE52" s="186"/>
      <c r="AF52" s="187" t="s">
        <v>207</v>
      </c>
      <c r="AL52" s="103"/>
    </row>
    <row r="53" spans="1:38" ht="18.5">
      <c r="A53" s="94">
        <v>47</v>
      </c>
      <c r="B53" s="104" t="s">
        <v>322</v>
      </c>
      <c r="C53" s="132" t="s">
        <v>316</v>
      </c>
      <c r="D53" s="192">
        <v>2300018047</v>
      </c>
      <c r="E53" s="290">
        <v>45901</v>
      </c>
      <c r="F53" s="291">
        <f t="shared" si="9"/>
        <v>31480</v>
      </c>
      <c r="G53" s="84">
        <f t="shared" si="10"/>
        <v>0</v>
      </c>
      <c r="H53" s="145"/>
      <c r="I53" s="140">
        <v>31480</v>
      </c>
      <c r="J53" s="95">
        <f t="shared" si="6"/>
        <v>31480</v>
      </c>
      <c r="K53" s="275">
        <v>46022</v>
      </c>
      <c r="L53" s="145"/>
      <c r="M53" s="145"/>
      <c r="N53" s="145"/>
      <c r="O53" s="145"/>
      <c r="P53" s="145"/>
      <c r="Q53" s="145"/>
      <c r="R53" s="145"/>
      <c r="S53" s="101"/>
      <c r="T53" s="89">
        <v>31480</v>
      </c>
      <c r="U53" s="145"/>
      <c r="V53" s="145"/>
      <c r="W53" s="145"/>
      <c r="X53" s="88"/>
      <c r="Y53" s="90"/>
      <c r="Z53" s="90"/>
      <c r="AA53" s="88">
        <f t="shared" si="3"/>
        <v>31480</v>
      </c>
      <c r="AB53" s="260">
        <f t="shared" si="2"/>
        <v>100</v>
      </c>
      <c r="AC53" s="84">
        <f t="shared" si="4"/>
        <v>0</v>
      </c>
      <c r="AD53" s="98"/>
      <c r="AE53" s="98"/>
      <c r="AF53" s="187" t="s">
        <v>207</v>
      </c>
      <c r="AL53" s="103"/>
    </row>
    <row r="54" spans="1:38" ht="18.5">
      <c r="A54" s="94">
        <v>48</v>
      </c>
      <c r="B54" s="104" t="s">
        <v>323</v>
      </c>
      <c r="C54" s="132" t="s">
        <v>316</v>
      </c>
      <c r="D54" s="192">
        <v>2300018052</v>
      </c>
      <c r="E54" s="290">
        <v>45901</v>
      </c>
      <c r="F54" s="291">
        <f t="shared" si="9"/>
        <v>18550</v>
      </c>
      <c r="G54" s="84">
        <f t="shared" si="10"/>
        <v>0</v>
      </c>
      <c r="H54" s="145"/>
      <c r="I54" s="140">
        <v>18550</v>
      </c>
      <c r="J54" s="95">
        <f t="shared" si="6"/>
        <v>18550</v>
      </c>
      <c r="K54" s="275">
        <v>45933</v>
      </c>
      <c r="L54" s="145"/>
      <c r="M54" s="145"/>
      <c r="N54" s="145"/>
      <c r="O54" s="145"/>
      <c r="P54" s="145"/>
      <c r="Q54" s="145"/>
      <c r="R54" s="145"/>
      <c r="S54" s="101"/>
      <c r="T54" s="89"/>
      <c r="U54" s="145"/>
      <c r="V54" s="145"/>
      <c r="W54" s="145"/>
      <c r="X54" s="88"/>
      <c r="Y54" s="90"/>
      <c r="Z54" s="90"/>
      <c r="AA54" s="88">
        <f t="shared" si="3"/>
        <v>0</v>
      </c>
      <c r="AB54" s="260">
        <f t="shared" si="2"/>
        <v>0</v>
      </c>
      <c r="AC54" s="84">
        <f t="shared" si="4"/>
        <v>18550</v>
      </c>
      <c r="AD54" s="98"/>
      <c r="AE54" s="98"/>
      <c r="AF54" s="187" t="s">
        <v>207</v>
      </c>
      <c r="AL54" s="103"/>
    </row>
    <row r="55" spans="1:38" ht="18.5">
      <c r="A55" s="94">
        <v>49</v>
      </c>
      <c r="B55" s="189" t="s">
        <v>323</v>
      </c>
      <c r="C55" s="132" t="s">
        <v>316</v>
      </c>
      <c r="D55" s="193">
        <v>2300018053</v>
      </c>
      <c r="E55" s="292">
        <v>45901</v>
      </c>
      <c r="F55" s="293">
        <f t="shared" si="9"/>
        <v>59980</v>
      </c>
      <c r="G55" s="118">
        <f t="shared" si="10"/>
        <v>0</v>
      </c>
      <c r="H55" s="185"/>
      <c r="I55" s="176">
        <v>59980</v>
      </c>
      <c r="J55" s="119">
        <f t="shared" si="6"/>
        <v>59980</v>
      </c>
      <c r="K55" s="283">
        <v>46022</v>
      </c>
      <c r="L55" s="185"/>
      <c r="M55" s="185"/>
      <c r="N55" s="185"/>
      <c r="O55" s="185"/>
      <c r="P55" s="185"/>
      <c r="Q55" s="185"/>
      <c r="R55" s="185"/>
      <c r="S55" s="89"/>
      <c r="T55" s="89">
        <v>59980</v>
      </c>
      <c r="U55" s="185"/>
      <c r="V55" s="185"/>
      <c r="W55" s="185"/>
      <c r="X55" s="120"/>
      <c r="Y55" s="120"/>
      <c r="Z55" s="120"/>
      <c r="AA55" s="88">
        <f t="shared" si="3"/>
        <v>59980</v>
      </c>
      <c r="AB55" s="285">
        <f t="shared" si="2"/>
        <v>100</v>
      </c>
      <c r="AC55" s="118">
        <f t="shared" si="4"/>
        <v>0</v>
      </c>
      <c r="AD55" s="186"/>
      <c r="AE55" s="186"/>
      <c r="AF55" s="187" t="s">
        <v>207</v>
      </c>
      <c r="AL55" s="103"/>
    </row>
    <row r="56" spans="1:38" ht="18.5">
      <c r="A56" s="94">
        <v>27</v>
      </c>
      <c r="B56" s="191" t="s">
        <v>324</v>
      </c>
      <c r="C56" s="132" t="s">
        <v>316</v>
      </c>
      <c r="D56" s="193">
        <v>1300005422</v>
      </c>
      <c r="E56" s="292">
        <v>45901</v>
      </c>
      <c r="F56" s="293">
        <f t="shared" si="9"/>
        <v>331415</v>
      </c>
      <c r="G56" s="118">
        <f t="shared" si="10"/>
        <v>0</v>
      </c>
      <c r="H56" s="185"/>
      <c r="I56" s="176">
        <v>331415</v>
      </c>
      <c r="J56" s="119">
        <f t="shared" si="6"/>
        <v>331415</v>
      </c>
      <c r="K56" s="283">
        <v>45933</v>
      </c>
      <c r="L56" s="185"/>
      <c r="M56" s="185"/>
      <c r="N56" s="185"/>
      <c r="O56" s="185"/>
      <c r="P56" s="185"/>
      <c r="Q56" s="185"/>
      <c r="R56" s="176">
        <v>308865</v>
      </c>
      <c r="S56" s="101"/>
      <c r="T56" s="89"/>
      <c r="U56" s="185"/>
      <c r="V56" s="185"/>
      <c r="W56" s="185"/>
      <c r="X56" s="120"/>
      <c r="Y56" s="120"/>
      <c r="Z56" s="120"/>
      <c r="AA56" s="88">
        <f t="shared" si="3"/>
        <v>308865</v>
      </c>
      <c r="AB56" s="285">
        <f t="shared" si="2"/>
        <v>93.195842071119301</v>
      </c>
      <c r="AC56" s="118">
        <f t="shared" si="4"/>
        <v>22550</v>
      </c>
      <c r="AD56" s="186"/>
      <c r="AE56" s="186"/>
      <c r="AF56" s="187" t="s">
        <v>207</v>
      </c>
      <c r="AL56" s="103"/>
    </row>
    <row r="57" spans="1:38" ht="18.5">
      <c r="A57" s="94">
        <v>28</v>
      </c>
      <c r="B57" s="191" t="s">
        <v>254</v>
      </c>
      <c r="C57" s="132" t="s">
        <v>318</v>
      </c>
      <c r="D57" s="193"/>
      <c r="E57" s="193"/>
      <c r="F57" s="293">
        <f t="shared" si="9"/>
        <v>16490</v>
      </c>
      <c r="G57" s="118">
        <f t="shared" si="10"/>
        <v>0</v>
      </c>
      <c r="H57" s="185"/>
      <c r="I57" s="176">
        <v>16490</v>
      </c>
      <c r="J57" s="119">
        <f t="shared" si="6"/>
        <v>16490</v>
      </c>
      <c r="K57" s="283"/>
      <c r="L57" s="185"/>
      <c r="M57" s="185"/>
      <c r="N57" s="185"/>
      <c r="O57" s="185"/>
      <c r="P57" s="185"/>
      <c r="Q57" s="185"/>
      <c r="R57" s="176">
        <v>16490</v>
      </c>
      <c r="S57" s="101"/>
      <c r="T57" s="89"/>
      <c r="U57" s="185"/>
      <c r="V57" s="185"/>
      <c r="W57" s="185"/>
      <c r="X57" s="120"/>
      <c r="Y57" s="120"/>
      <c r="Z57" s="120"/>
      <c r="AA57" s="88">
        <f t="shared" si="3"/>
        <v>16490</v>
      </c>
      <c r="AB57" s="285">
        <f t="shared" si="2"/>
        <v>100</v>
      </c>
      <c r="AC57" s="118">
        <f t="shared" si="4"/>
        <v>0</v>
      </c>
      <c r="AD57" s="186"/>
      <c r="AE57" s="186"/>
      <c r="AF57" s="187" t="s">
        <v>207</v>
      </c>
      <c r="AL57" s="103"/>
    </row>
    <row r="58" spans="1:38" ht="18.5">
      <c r="A58" s="94">
        <v>29</v>
      </c>
      <c r="B58" s="191" t="s">
        <v>324</v>
      </c>
      <c r="C58" s="132" t="s">
        <v>316</v>
      </c>
      <c r="D58" s="193">
        <v>1300005423</v>
      </c>
      <c r="E58" s="292">
        <v>45901</v>
      </c>
      <c r="F58" s="293">
        <f t="shared" si="9"/>
        <v>119040</v>
      </c>
      <c r="G58" s="118">
        <f t="shared" si="10"/>
        <v>0</v>
      </c>
      <c r="H58" s="185"/>
      <c r="I58" s="176">
        <v>119040</v>
      </c>
      <c r="J58" s="119">
        <f t="shared" si="6"/>
        <v>119040</v>
      </c>
      <c r="K58" s="283">
        <v>45938</v>
      </c>
      <c r="L58" s="185"/>
      <c r="M58" s="185"/>
      <c r="N58" s="185"/>
      <c r="O58" s="185"/>
      <c r="P58" s="185"/>
      <c r="Q58" s="185"/>
      <c r="R58" s="176">
        <v>118290</v>
      </c>
      <c r="S58" s="101"/>
      <c r="T58" s="89"/>
      <c r="U58" s="185"/>
      <c r="V58" s="185"/>
      <c r="W58" s="185"/>
      <c r="X58" s="120"/>
      <c r="Y58" s="120"/>
      <c r="Z58" s="120"/>
      <c r="AA58" s="88">
        <f t="shared" si="3"/>
        <v>118290</v>
      </c>
      <c r="AB58" s="285">
        <f t="shared" si="2"/>
        <v>99.369959677419345</v>
      </c>
      <c r="AC58" s="118">
        <f t="shared" si="4"/>
        <v>750</v>
      </c>
      <c r="AD58" s="186"/>
      <c r="AE58" s="186"/>
      <c r="AF58" s="187" t="s">
        <v>207</v>
      </c>
      <c r="AL58" s="103"/>
    </row>
    <row r="59" spans="1:38" ht="18.5">
      <c r="A59" s="94">
        <v>30</v>
      </c>
      <c r="B59" s="189" t="s">
        <v>322</v>
      </c>
      <c r="C59" s="132" t="s">
        <v>316</v>
      </c>
      <c r="D59" s="193">
        <v>1300005424</v>
      </c>
      <c r="E59" s="292">
        <v>45902</v>
      </c>
      <c r="F59" s="293">
        <f t="shared" si="9"/>
        <v>217045</v>
      </c>
      <c r="G59" s="118">
        <f t="shared" si="10"/>
        <v>0</v>
      </c>
      <c r="H59" s="185"/>
      <c r="I59" s="176">
        <v>217045</v>
      </c>
      <c r="J59" s="119">
        <f t="shared" si="6"/>
        <v>217045</v>
      </c>
      <c r="K59" s="283">
        <v>45938</v>
      </c>
      <c r="L59" s="185"/>
      <c r="M59" s="185"/>
      <c r="N59" s="185"/>
      <c r="O59" s="185"/>
      <c r="P59" s="185"/>
      <c r="Q59" s="185"/>
      <c r="R59" s="176">
        <v>194855</v>
      </c>
      <c r="S59" s="101">
        <v>17800</v>
      </c>
      <c r="T59" s="89"/>
      <c r="U59" s="185"/>
      <c r="V59" s="185"/>
      <c r="W59" s="185"/>
      <c r="X59" s="120"/>
      <c r="Y59" s="120"/>
      <c r="Z59" s="120"/>
      <c r="AA59" s="88">
        <f t="shared" si="3"/>
        <v>212655</v>
      </c>
      <c r="AB59" s="285">
        <f t="shared" si="2"/>
        <v>97.977377963095208</v>
      </c>
      <c r="AC59" s="118">
        <f t="shared" si="4"/>
        <v>4390</v>
      </c>
      <c r="AD59" s="186"/>
      <c r="AE59" s="186"/>
      <c r="AF59" s="187" t="s">
        <v>207</v>
      </c>
      <c r="AL59" s="103"/>
    </row>
    <row r="60" spans="1:38" ht="37">
      <c r="A60" s="94">
        <v>31</v>
      </c>
      <c r="B60" s="183" t="s">
        <v>256</v>
      </c>
      <c r="C60" s="132" t="s">
        <v>316</v>
      </c>
      <c r="D60" s="192" t="s">
        <v>257</v>
      </c>
      <c r="E60" s="290">
        <v>45903</v>
      </c>
      <c r="F60" s="291">
        <f t="shared" si="9"/>
        <v>737756</v>
      </c>
      <c r="G60" s="84">
        <f t="shared" si="10"/>
        <v>0</v>
      </c>
      <c r="H60" s="145"/>
      <c r="I60" s="140">
        <v>737756</v>
      </c>
      <c r="J60" s="95">
        <f t="shared" si="6"/>
        <v>737756</v>
      </c>
      <c r="K60" s="275">
        <v>45972</v>
      </c>
      <c r="L60" s="145"/>
      <c r="M60" s="145"/>
      <c r="N60" s="145"/>
      <c r="O60" s="145"/>
      <c r="P60" s="145"/>
      <c r="Q60" s="145"/>
      <c r="R60" s="145"/>
      <c r="S60" s="101"/>
      <c r="T60" s="89"/>
      <c r="U60" s="145"/>
      <c r="V60" s="145"/>
      <c r="W60" s="145"/>
      <c r="X60" s="88"/>
      <c r="Y60" s="90"/>
      <c r="Z60" s="90"/>
      <c r="AA60" s="88">
        <f t="shared" si="3"/>
        <v>0</v>
      </c>
      <c r="AB60" s="260">
        <f t="shared" si="2"/>
        <v>0</v>
      </c>
      <c r="AC60" s="84">
        <f t="shared" si="4"/>
        <v>737756</v>
      </c>
      <c r="AD60" s="98"/>
      <c r="AE60" s="98"/>
      <c r="AF60" s="112" t="s">
        <v>320</v>
      </c>
      <c r="AL60" s="103"/>
    </row>
    <row r="61" spans="1:38" ht="37">
      <c r="A61" s="94">
        <v>54</v>
      </c>
      <c r="B61" s="104" t="s">
        <v>258</v>
      </c>
      <c r="C61" s="132" t="s">
        <v>318</v>
      </c>
      <c r="D61" s="192" t="s">
        <v>259</v>
      </c>
      <c r="E61" s="290">
        <v>45880</v>
      </c>
      <c r="F61" s="291">
        <v>50000</v>
      </c>
      <c r="G61" s="84">
        <f t="shared" si="10"/>
        <v>0</v>
      </c>
      <c r="H61" s="145"/>
      <c r="I61" s="140">
        <v>50000</v>
      </c>
      <c r="J61" s="95">
        <f t="shared" si="6"/>
        <v>50000</v>
      </c>
      <c r="K61" s="275"/>
      <c r="L61" s="145"/>
      <c r="M61" s="145"/>
      <c r="N61" s="145"/>
      <c r="O61" s="145"/>
      <c r="P61" s="145"/>
      <c r="Q61" s="140">
        <v>50000</v>
      </c>
      <c r="R61" s="140"/>
      <c r="S61" s="101"/>
      <c r="T61" s="89"/>
      <c r="U61" s="145"/>
      <c r="V61" s="145"/>
      <c r="W61" s="145"/>
      <c r="X61" s="88"/>
      <c r="Y61" s="90"/>
      <c r="Z61" s="90"/>
      <c r="AA61" s="88">
        <f t="shared" si="3"/>
        <v>50000</v>
      </c>
      <c r="AB61" s="260">
        <f t="shared" si="2"/>
        <v>100</v>
      </c>
      <c r="AC61" s="84">
        <f t="shared" si="4"/>
        <v>0</v>
      </c>
      <c r="AD61" s="98"/>
      <c r="AE61" s="98"/>
      <c r="AF61" s="99"/>
      <c r="AL61" s="103"/>
    </row>
    <row r="62" spans="1:38" ht="18.5">
      <c r="A62" s="94">
        <v>32</v>
      </c>
      <c r="B62" s="183" t="s">
        <v>260</v>
      </c>
      <c r="C62" s="132" t="s">
        <v>318</v>
      </c>
      <c r="D62" s="192">
        <v>2300018318</v>
      </c>
      <c r="E62" s="290">
        <v>45919</v>
      </c>
      <c r="F62" s="291">
        <f t="shared" ref="F62:F69" si="11">I62</f>
        <v>2839930</v>
      </c>
      <c r="G62" s="84">
        <f t="shared" si="10"/>
        <v>0</v>
      </c>
      <c r="H62" s="145"/>
      <c r="I62" s="140">
        <v>2839930</v>
      </c>
      <c r="J62" s="95">
        <f t="shared" si="6"/>
        <v>2839930</v>
      </c>
      <c r="K62" s="275"/>
      <c r="L62" s="145"/>
      <c r="M62" s="145"/>
      <c r="N62" s="145"/>
      <c r="O62" s="145"/>
      <c r="P62" s="145"/>
      <c r="Q62" s="140">
        <v>709982.5</v>
      </c>
      <c r="R62" s="140"/>
      <c r="S62" s="101">
        <v>709983</v>
      </c>
      <c r="T62" s="89"/>
      <c r="U62" s="145"/>
      <c r="V62" s="145"/>
      <c r="W62" s="145"/>
      <c r="X62" s="88"/>
      <c r="Y62" s="90"/>
      <c r="Z62" s="90"/>
      <c r="AA62" s="88">
        <f t="shared" si="3"/>
        <v>1419965.5</v>
      </c>
      <c r="AB62" s="260">
        <f t="shared" si="2"/>
        <v>50.000017606067757</v>
      </c>
      <c r="AC62" s="84">
        <f t="shared" si="4"/>
        <v>1419964.5</v>
      </c>
      <c r="AD62" s="98"/>
      <c r="AE62" s="98"/>
      <c r="AF62" s="99"/>
      <c r="AL62" s="103"/>
    </row>
    <row r="63" spans="1:38" ht="32">
      <c r="A63" s="94">
        <v>33</v>
      </c>
      <c r="B63" s="183" t="s">
        <v>261</v>
      </c>
      <c r="C63" s="132" t="s">
        <v>316</v>
      </c>
      <c r="D63" s="192">
        <v>11011204044</v>
      </c>
      <c r="E63" s="290">
        <v>45923</v>
      </c>
      <c r="F63" s="291">
        <f t="shared" si="11"/>
        <v>1694224</v>
      </c>
      <c r="G63" s="84">
        <f t="shared" si="10"/>
        <v>0</v>
      </c>
      <c r="H63" s="145"/>
      <c r="I63" s="140">
        <v>1694224</v>
      </c>
      <c r="J63" s="95">
        <f t="shared" si="6"/>
        <v>1694224</v>
      </c>
      <c r="K63" s="275">
        <v>45981</v>
      </c>
      <c r="L63" s="145"/>
      <c r="M63" s="145"/>
      <c r="N63" s="145"/>
      <c r="O63" s="145"/>
      <c r="P63" s="145"/>
      <c r="Q63" s="145"/>
      <c r="R63" s="145"/>
      <c r="S63" s="101"/>
      <c r="T63" s="89">
        <v>299838</v>
      </c>
      <c r="U63" s="145"/>
      <c r="V63" s="145"/>
      <c r="W63" s="145"/>
      <c r="X63" s="88"/>
      <c r="Y63" s="90"/>
      <c r="Z63" s="90"/>
      <c r="AA63" s="88">
        <f t="shared" si="3"/>
        <v>299838</v>
      </c>
      <c r="AB63" s="260">
        <f t="shared" si="2"/>
        <v>17.697659813578369</v>
      </c>
      <c r="AC63" s="84">
        <f t="shared" si="4"/>
        <v>1394386</v>
      </c>
      <c r="AD63" s="98"/>
      <c r="AE63" s="98"/>
      <c r="AF63" s="112" t="s">
        <v>325</v>
      </c>
      <c r="AL63" s="103"/>
    </row>
    <row r="64" spans="1:38" ht="18.5">
      <c r="A64" s="94">
        <v>34</v>
      </c>
      <c r="B64" s="183" t="s">
        <v>262</v>
      </c>
      <c r="C64" s="132" t="s">
        <v>316</v>
      </c>
      <c r="D64" s="192">
        <v>11044135650</v>
      </c>
      <c r="E64" s="290">
        <v>45923</v>
      </c>
      <c r="F64" s="291">
        <f t="shared" si="11"/>
        <v>289083</v>
      </c>
      <c r="G64" s="84">
        <f t="shared" si="10"/>
        <v>0</v>
      </c>
      <c r="H64" s="145"/>
      <c r="I64" s="140">
        <v>289083</v>
      </c>
      <c r="J64" s="95">
        <f t="shared" si="6"/>
        <v>289083</v>
      </c>
      <c r="K64" s="275"/>
      <c r="L64" s="145"/>
      <c r="M64" s="145"/>
      <c r="N64" s="145"/>
      <c r="O64" s="145"/>
      <c r="P64" s="145"/>
      <c r="Q64" s="145"/>
      <c r="R64" s="145"/>
      <c r="S64" s="101"/>
      <c r="T64" s="89"/>
      <c r="U64" s="145"/>
      <c r="V64" s="145"/>
      <c r="W64" s="145"/>
      <c r="X64" s="88"/>
      <c r="Y64" s="90"/>
      <c r="Z64" s="90"/>
      <c r="AA64" s="88">
        <f t="shared" si="3"/>
        <v>0</v>
      </c>
      <c r="AB64" s="260">
        <f t="shared" si="2"/>
        <v>0</v>
      </c>
      <c r="AC64" s="84">
        <f t="shared" si="4"/>
        <v>289083</v>
      </c>
      <c r="AD64" s="98"/>
      <c r="AE64" s="98"/>
      <c r="AF64" s="99"/>
      <c r="AL64" s="103"/>
    </row>
    <row r="65" spans="1:38" ht="18.5">
      <c r="A65" s="94">
        <v>35</v>
      </c>
      <c r="B65" s="183" t="s">
        <v>263</v>
      </c>
      <c r="C65" s="132" t="s">
        <v>316</v>
      </c>
      <c r="D65" s="192">
        <v>11044135651</v>
      </c>
      <c r="E65" s="290">
        <v>45923</v>
      </c>
      <c r="F65" s="291">
        <f t="shared" si="11"/>
        <v>289083</v>
      </c>
      <c r="G65" s="84">
        <f t="shared" si="10"/>
        <v>0</v>
      </c>
      <c r="H65" s="145"/>
      <c r="I65" s="140">
        <v>289083</v>
      </c>
      <c r="J65" s="95">
        <f t="shared" si="6"/>
        <v>289083</v>
      </c>
      <c r="K65" s="275"/>
      <c r="L65" s="145"/>
      <c r="M65" s="145"/>
      <c r="N65" s="145"/>
      <c r="O65" s="145"/>
      <c r="P65" s="145"/>
      <c r="Q65" s="145"/>
      <c r="R65" s="145"/>
      <c r="S65" s="101"/>
      <c r="T65" s="89"/>
      <c r="U65" s="145"/>
      <c r="V65" s="145"/>
      <c r="W65" s="145"/>
      <c r="X65" s="88"/>
      <c r="Y65" s="90"/>
      <c r="Z65" s="90"/>
      <c r="AA65" s="88">
        <f t="shared" si="3"/>
        <v>0</v>
      </c>
      <c r="AB65" s="260">
        <f t="shared" si="2"/>
        <v>0</v>
      </c>
      <c r="AC65" s="84">
        <f t="shared" si="4"/>
        <v>289083</v>
      </c>
      <c r="AD65" s="98"/>
      <c r="AE65" s="98"/>
      <c r="AF65" s="99"/>
      <c r="AL65" s="103"/>
    </row>
    <row r="66" spans="1:38" ht="18.5">
      <c r="A66" s="166">
        <v>36</v>
      </c>
      <c r="B66" s="104" t="s">
        <v>264</v>
      </c>
      <c r="C66" s="132" t="s">
        <v>316</v>
      </c>
      <c r="D66" s="194" t="s">
        <v>265</v>
      </c>
      <c r="E66" s="294">
        <v>45943</v>
      </c>
      <c r="F66" s="295">
        <f t="shared" si="11"/>
        <v>9850000</v>
      </c>
      <c r="G66" s="84">
        <f t="shared" si="10"/>
        <v>0</v>
      </c>
      <c r="H66" s="145"/>
      <c r="I66" s="140">
        <v>9850000</v>
      </c>
      <c r="J66" s="95">
        <f t="shared" si="6"/>
        <v>9850000</v>
      </c>
      <c r="K66" s="275">
        <v>46010</v>
      </c>
      <c r="L66" s="145"/>
      <c r="M66" s="145"/>
      <c r="N66" s="145"/>
      <c r="O66" s="145"/>
      <c r="P66" s="145"/>
      <c r="Q66" s="145"/>
      <c r="R66" s="145"/>
      <c r="S66" s="140"/>
      <c r="T66" s="176">
        <v>1031222</v>
      </c>
      <c r="U66" s="145"/>
      <c r="V66" s="145"/>
      <c r="W66" s="145"/>
      <c r="X66" s="145"/>
      <c r="Y66" s="195"/>
      <c r="Z66" s="90"/>
      <c r="AA66" s="88">
        <f t="shared" si="3"/>
        <v>1031222</v>
      </c>
      <c r="AB66" s="296">
        <f t="shared" si="2"/>
        <v>10.469258883248731</v>
      </c>
      <c r="AC66" s="84">
        <f t="shared" si="4"/>
        <v>8818778</v>
      </c>
      <c r="AD66" s="98"/>
      <c r="AE66" s="98"/>
      <c r="AF66" s="99"/>
      <c r="AL66" s="103"/>
    </row>
    <row r="67" spans="1:38" ht="18.5">
      <c r="A67" s="196">
        <v>37</v>
      </c>
      <c r="B67" s="104" t="s">
        <v>266</v>
      </c>
      <c r="C67" s="132" t="s">
        <v>316</v>
      </c>
      <c r="D67" s="194" t="s">
        <v>265</v>
      </c>
      <c r="E67" s="294">
        <v>45945</v>
      </c>
      <c r="F67" s="295">
        <f t="shared" si="11"/>
        <v>2829825</v>
      </c>
      <c r="G67" s="84">
        <f t="shared" si="10"/>
        <v>0</v>
      </c>
      <c r="H67" s="145"/>
      <c r="I67" s="140">
        <v>2829825</v>
      </c>
      <c r="J67" s="95">
        <f t="shared" si="6"/>
        <v>2829825</v>
      </c>
      <c r="K67" s="275"/>
      <c r="L67" s="145"/>
      <c r="M67" s="145"/>
      <c r="N67" s="145"/>
      <c r="O67" s="145"/>
      <c r="P67" s="145"/>
      <c r="Q67" s="145"/>
      <c r="R67" s="145"/>
      <c r="S67" s="140"/>
      <c r="T67" s="176"/>
      <c r="U67" s="145"/>
      <c r="V67" s="145"/>
      <c r="W67" s="145"/>
      <c r="X67" s="145"/>
      <c r="Y67" s="195"/>
      <c r="Z67" s="90"/>
      <c r="AA67" s="88">
        <f t="shared" si="3"/>
        <v>0</v>
      </c>
      <c r="AB67" s="296">
        <f t="shared" si="2"/>
        <v>0</v>
      </c>
      <c r="AC67" s="84">
        <f t="shared" si="4"/>
        <v>2829825</v>
      </c>
      <c r="AD67" s="98"/>
      <c r="AE67" s="98"/>
      <c r="AF67" s="99"/>
      <c r="AL67" s="103"/>
    </row>
    <row r="68" spans="1:38" ht="32">
      <c r="A68" s="196">
        <v>38</v>
      </c>
      <c r="B68" s="104" t="s">
        <v>267</v>
      </c>
      <c r="C68" s="132" t="s">
        <v>316</v>
      </c>
      <c r="D68" s="194" t="s">
        <v>265</v>
      </c>
      <c r="E68" s="294">
        <v>45941</v>
      </c>
      <c r="F68" s="295">
        <f t="shared" si="11"/>
        <v>2829825</v>
      </c>
      <c r="G68" s="84">
        <f t="shared" si="10"/>
        <v>0</v>
      </c>
      <c r="H68" s="145"/>
      <c r="I68" s="140">
        <v>2829825</v>
      </c>
      <c r="J68" s="95">
        <f t="shared" si="6"/>
        <v>2829825</v>
      </c>
      <c r="K68" s="275">
        <v>45997</v>
      </c>
      <c r="L68" s="145"/>
      <c r="M68" s="145"/>
      <c r="N68" s="145"/>
      <c r="O68" s="145"/>
      <c r="P68" s="145"/>
      <c r="Q68" s="145"/>
      <c r="R68" s="145"/>
      <c r="S68" s="140"/>
      <c r="T68" s="176"/>
      <c r="U68" s="145"/>
      <c r="V68" s="145"/>
      <c r="W68" s="145"/>
      <c r="X68" s="145"/>
      <c r="Y68" s="195"/>
      <c r="Z68" s="90"/>
      <c r="AA68" s="88">
        <f t="shared" si="3"/>
        <v>0</v>
      </c>
      <c r="AB68" s="296">
        <f t="shared" si="2"/>
        <v>0</v>
      </c>
      <c r="AC68" s="84">
        <f t="shared" si="4"/>
        <v>2829825</v>
      </c>
      <c r="AD68" s="98"/>
      <c r="AE68" s="98"/>
      <c r="AF68" s="112" t="s">
        <v>326</v>
      </c>
      <c r="AL68" s="103"/>
    </row>
    <row r="69" spans="1:38" ht="18.5">
      <c r="A69" s="196">
        <v>39</v>
      </c>
      <c r="B69" s="197" t="s">
        <v>268</v>
      </c>
      <c r="C69" s="132" t="s">
        <v>316</v>
      </c>
      <c r="D69" s="198"/>
      <c r="E69" s="297">
        <v>45980</v>
      </c>
      <c r="F69" s="298">
        <f t="shared" si="11"/>
        <v>249000</v>
      </c>
      <c r="G69" s="84">
        <f t="shared" si="10"/>
        <v>0</v>
      </c>
      <c r="H69" s="167"/>
      <c r="I69" s="168">
        <v>249000</v>
      </c>
      <c r="J69" s="179">
        <f t="shared" si="6"/>
        <v>249000</v>
      </c>
      <c r="K69" s="277">
        <v>45990</v>
      </c>
      <c r="L69" s="167"/>
      <c r="M69" s="167"/>
      <c r="N69" s="167"/>
      <c r="O69" s="167"/>
      <c r="P69" s="167"/>
      <c r="Q69" s="167"/>
      <c r="R69" s="167"/>
      <c r="S69" s="168"/>
      <c r="T69" s="199">
        <v>211650</v>
      </c>
      <c r="U69" s="145"/>
      <c r="V69" s="145"/>
      <c r="W69" s="145"/>
      <c r="X69" s="167"/>
      <c r="Y69" s="200"/>
      <c r="Z69" s="299"/>
      <c r="AA69" s="88">
        <f t="shared" si="3"/>
        <v>211650</v>
      </c>
      <c r="AB69" s="300"/>
      <c r="AC69" s="84">
        <f>J69-AA69</f>
        <v>37350</v>
      </c>
      <c r="AD69" s="301"/>
      <c r="AE69" s="301"/>
      <c r="AF69" s="302"/>
      <c r="AL69" s="103"/>
    </row>
    <row r="70" spans="1:38" ht="18.5">
      <c r="A70" s="196"/>
      <c r="B70" s="197" t="s">
        <v>327</v>
      </c>
      <c r="C70" s="132" t="s">
        <v>316</v>
      </c>
      <c r="D70" s="198"/>
      <c r="E70" s="303">
        <v>46014</v>
      </c>
      <c r="F70" s="304">
        <v>253705</v>
      </c>
      <c r="G70" s="305">
        <v>0</v>
      </c>
      <c r="H70" s="306"/>
      <c r="I70" s="307">
        <v>253705</v>
      </c>
      <c r="J70" s="308">
        <f t="shared" si="6"/>
        <v>253705</v>
      </c>
      <c r="K70" s="309">
        <v>46022</v>
      </c>
      <c r="L70" s="306"/>
      <c r="M70" s="306"/>
      <c r="N70" s="306"/>
      <c r="O70" s="306"/>
      <c r="P70" s="306"/>
      <c r="Q70" s="306"/>
      <c r="R70" s="306"/>
      <c r="S70" s="307"/>
      <c r="T70" s="310">
        <v>253705</v>
      </c>
      <c r="U70" s="306"/>
      <c r="V70" s="306"/>
      <c r="W70" s="306"/>
      <c r="X70" s="306"/>
      <c r="Y70" s="311"/>
      <c r="Z70" s="311"/>
      <c r="AA70" s="88">
        <f>SUM(L70:T70)-SUM(U70:Z70)</f>
        <v>253705</v>
      </c>
      <c r="AB70" s="300"/>
      <c r="AC70" s="84">
        <f>J70-AA70</f>
        <v>0</v>
      </c>
      <c r="AD70" s="301"/>
      <c r="AE70" s="301"/>
      <c r="AF70" s="302" t="s">
        <v>328</v>
      </c>
      <c r="AL70" s="103"/>
    </row>
    <row r="71" spans="1:38" ht="18.5">
      <c r="A71" s="196"/>
      <c r="B71" s="197" t="s">
        <v>329</v>
      </c>
      <c r="C71" s="132" t="s">
        <v>316</v>
      </c>
      <c r="D71" s="198"/>
      <c r="E71" s="303">
        <v>46021</v>
      </c>
      <c r="F71" s="304">
        <v>5820332</v>
      </c>
      <c r="G71" s="305">
        <v>0</v>
      </c>
      <c r="H71" s="306"/>
      <c r="I71" s="307">
        <v>5820332</v>
      </c>
      <c r="J71" s="308">
        <f t="shared" si="6"/>
        <v>5820332</v>
      </c>
      <c r="K71" s="309"/>
      <c r="L71" s="306"/>
      <c r="M71" s="306"/>
      <c r="N71" s="306"/>
      <c r="O71" s="306"/>
      <c r="P71" s="306"/>
      <c r="Q71" s="306"/>
      <c r="R71" s="306"/>
      <c r="S71" s="307"/>
      <c r="T71" s="310"/>
      <c r="U71" s="306"/>
      <c r="V71" s="306"/>
      <c r="W71" s="306"/>
      <c r="X71" s="306"/>
      <c r="Y71" s="311"/>
      <c r="Z71" s="311"/>
      <c r="AA71" s="88"/>
      <c r="AB71" s="300"/>
      <c r="AC71" s="305"/>
      <c r="AD71" s="301"/>
      <c r="AE71" s="301"/>
      <c r="AF71" s="302"/>
      <c r="AL71" s="103"/>
    </row>
    <row r="72" spans="1:38" ht="19" thickBot="1">
      <c r="A72" s="196"/>
      <c r="B72" s="197"/>
      <c r="C72" s="312"/>
      <c r="D72" s="198"/>
      <c r="E72" s="313"/>
      <c r="F72" s="304"/>
      <c r="G72" s="305"/>
      <c r="H72" s="306"/>
      <c r="I72" s="307"/>
      <c r="J72" s="308"/>
      <c r="K72" s="308"/>
      <c r="L72" s="306"/>
      <c r="M72" s="306"/>
      <c r="N72" s="306"/>
      <c r="O72" s="306"/>
      <c r="P72" s="306"/>
      <c r="Q72" s="306"/>
      <c r="R72" s="306"/>
      <c r="S72" s="307"/>
      <c r="T72" s="310"/>
      <c r="U72" s="306"/>
      <c r="V72" s="306"/>
      <c r="W72" s="306"/>
      <c r="X72" s="306"/>
      <c r="Y72" s="311"/>
      <c r="Z72" s="311"/>
      <c r="AA72" s="88">
        <f>SUM(L72:T72)-SUM(U72:Z72)</f>
        <v>0</v>
      </c>
      <c r="AB72" s="300"/>
      <c r="AC72" s="305"/>
      <c r="AD72" s="301"/>
      <c r="AE72" s="301"/>
      <c r="AF72" s="302"/>
      <c r="AL72" s="103"/>
    </row>
    <row r="73" spans="1:38" ht="19" thickBot="1">
      <c r="A73" s="412" t="s">
        <v>269</v>
      </c>
      <c r="B73" s="413"/>
      <c r="C73" s="414"/>
      <c r="D73" s="415"/>
      <c r="E73" s="201"/>
      <c r="F73" s="314">
        <f t="shared" ref="F73:AC73" si="12">SUM(F5:F72)</f>
        <v>287785612</v>
      </c>
      <c r="G73" s="314">
        <f t="shared" si="12"/>
        <v>93132548.799999997</v>
      </c>
      <c r="H73" s="314">
        <f t="shared" si="12"/>
        <v>109343401.2</v>
      </c>
      <c r="I73" s="314">
        <f t="shared" si="12"/>
        <v>88969447</v>
      </c>
      <c r="J73" s="314">
        <f t="shared" si="12"/>
        <v>198312848.19999999</v>
      </c>
      <c r="K73" s="314"/>
      <c r="L73" s="314">
        <f t="shared" si="12"/>
        <v>1453395</v>
      </c>
      <c r="M73" s="314">
        <f t="shared" si="12"/>
        <v>10978461</v>
      </c>
      <c r="N73" s="314">
        <f t="shared" si="12"/>
        <v>6730463</v>
      </c>
      <c r="O73" s="314">
        <f t="shared" si="12"/>
        <v>10610813.75</v>
      </c>
      <c r="P73" s="314">
        <f t="shared" si="12"/>
        <v>9405459.5</v>
      </c>
      <c r="Q73" s="314">
        <f t="shared" si="12"/>
        <v>12804524.5</v>
      </c>
      <c r="R73" s="314">
        <f t="shared" si="12"/>
        <v>2964927</v>
      </c>
      <c r="S73" s="314">
        <f t="shared" si="12"/>
        <v>11293980.35</v>
      </c>
      <c r="T73" s="315">
        <f t="shared" si="12"/>
        <v>5873635</v>
      </c>
      <c r="U73" s="202">
        <f t="shared" si="12"/>
        <v>1082425</v>
      </c>
      <c r="V73" s="202">
        <f t="shared" si="12"/>
        <v>329278</v>
      </c>
      <c r="W73" s="202">
        <f t="shared" si="12"/>
        <v>382493</v>
      </c>
      <c r="X73" s="202">
        <f t="shared" si="12"/>
        <v>0</v>
      </c>
      <c r="Y73" s="202">
        <f t="shared" si="12"/>
        <v>876877.35</v>
      </c>
      <c r="Z73" s="202">
        <f t="shared" si="12"/>
        <v>85705</v>
      </c>
      <c r="AA73" s="316">
        <f t="shared" si="12"/>
        <v>69358880.75</v>
      </c>
      <c r="AB73" s="202">
        <f t="shared" si="12"/>
        <v>3327.3514809603066</v>
      </c>
      <c r="AC73" s="202">
        <f t="shared" si="12"/>
        <v>123133635.44999999</v>
      </c>
      <c r="AD73" s="416"/>
      <c r="AE73" s="417"/>
      <c r="AF73" s="418"/>
      <c r="AL73" s="103"/>
    </row>
    <row r="74" spans="1:38" ht="21">
      <c r="A74" s="419" t="s">
        <v>330</v>
      </c>
      <c r="B74" s="420"/>
      <c r="C74" s="420"/>
      <c r="D74" s="420"/>
      <c r="E74" s="420"/>
      <c r="F74" s="420"/>
      <c r="G74" s="420"/>
      <c r="H74" s="420"/>
      <c r="I74" s="420"/>
      <c r="J74" s="421"/>
      <c r="K74" s="317"/>
      <c r="L74" s="425">
        <f>L73+M73+N73+O73+P73+Q73+R73+S73+T73</f>
        <v>72115659.099999994</v>
      </c>
      <c r="M74" s="426"/>
      <c r="N74" s="426"/>
      <c r="O74" s="426"/>
      <c r="P74" s="427"/>
      <c r="Q74" s="203"/>
      <c r="R74" s="203"/>
      <c r="S74" s="203"/>
      <c r="T74" s="203"/>
      <c r="U74" s="204"/>
      <c r="V74" s="204"/>
      <c r="W74" s="204"/>
      <c r="X74" s="204"/>
      <c r="Y74" s="204"/>
      <c r="Z74" s="204"/>
      <c r="AA74" s="204"/>
      <c r="AB74" s="204"/>
    </row>
    <row r="75" spans="1:38" ht="21.5" thickBot="1">
      <c r="A75" s="422"/>
      <c r="B75" s="423"/>
      <c r="C75" s="423"/>
      <c r="D75" s="423"/>
      <c r="E75" s="423"/>
      <c r="F75" s="423"/>
      <c r="G75" s="423"/>
      <c r="H75" s="423"/>
      <c r="I75" s="423"/>
      <c r="J75" s="424"/>
      <c r="K75" s="318"/>
      <c r="L75" s="428"/>
      <c r="M75" s="429"/>
      <c r="N75" s="429"/>
      <c r="O75" s="429"/>
      <c r="P75" s="430"/>
      <c r="Q75" s="203"/>
      <c r="R75" s="203"/>
      <c r="S75" s="203"/>
      <c r="T75" s="203"/>
      <c r="U75" s="204"/>
      <c r="V75" s="205"/>
      <c r="W75" s="204"/>
      <c r="X75" s="204"/>
      <c r="Y75" s="204"/>
      <c r="Z75" s="204"/>
      <c r="AA75" s="205"/>
    </row>
    <row r="76" spans="1:38" ht="21">
      <c r="A76" s="431" t="s">
        <v>271</v>
      </c>
      <c r="B76" s="432"/>
      <c r="C76" s="432"/>
      <c r="D76" s="432"/>
      <c r="E76" s="432"/>
      <c r="F76" s="432"/>
      <c r="G76" s="432"/>
      <c r="H76" s="432"/>
      <c r="I76" s="432"/>
      <c r="J76" s="433"/>
      <c r="K76" s="319"/>
      <c r="L76" s="434">
        <f>U73+V73+W73+X73+Y73+Z73</f>
        <v>2756778.35</v>
      </c>
      <c r="M76" s="435"/>
      <c r="N76" s="435"/>
      <c r="O76" s="435"/>
      <c r="P76" s="436"/>
      <c r="Q76" s="203"/>
      <c r="R76" s="203"/>
      <c r="S76" s="203"/>
      <c r="T76" s="203"/>
      <c r="U76" s="206"/>
      <c r="V76" s="206"/>
      <c r="W76" s="204"/>
      <c r="X76" s="204"/>
      <c r="Y76" s="204"/>
      <c r="Z76" s="204"/>
      <c r="AA76" s="204"/>
      <c r="AB76" s="204"/>
      <c r="AD76" s="206"/>
    </row>
    <row r="77" spans="1:38" ht="19" thickBot="1">
      <c r="A77" s="422"/>
      <c r="B77" s="423"/>
      <c r="C77" s="423"/>
      <c r="D77" s="423"/>
      <c r="E77" s="423"/>
      <c r="F77" s="423"/>
      <c r="G77" s="423"/>
      <c r="H77" s="423"/>
      <c r="I77" s="423"/>
      <c r="J77" s="424"/>
      <c r="K77" s="318"/>
      <c r="L77" s="428"/>
      <c r="M77" s="429"/>
      <c r="N77" s="429"/>
      <c r="O77" s="429"/>
      <c r="P77" s="430"/>
      <c r="Q77" s="203"/>
      <c r="R77" s="203"/>
      <c r="S77" s="203"/>
      <c r="T77" s="203"/>
      <c r="U77" s="206"/>
      <c r="V77" s="206"/>
      <c r="W77" s="206"/>
      <c r="X77" s="206"/>
      <c r="Y77" s="206"/>
      <c r="Z77" s="206"/>
      <c r="AA77" s="206"/>
      <c r="AB77" s="206"/>
      <c r="AC77" s="217"/>
      <c r="AD77" s="206"/>
    </row>
    <row r="78" spans="1:38" ht="19" thickBot="1">
      <c r="A78" s="437" t="s">
        <v>272</v>
      </c>
      <c r="B78" s="438"/>
      <c r="C78" s="438"/>
      <c r="D78" s="438"/>
      <c r="E78" s="438"/>
      <c r="F78" s="438"/>
      <c r="G78" s="438"/>
      <c r="H78" s="438"/>
      <c r="I78" s="438"/>
      <c r="J78" s="439"/>
      <c r="K78" s="320"/>
      <c r="L78" s="440">
        <f>L74-L76</f>
        <v>69358880.75</v>
      </c>
      <c r="M78" s="441"/>
      <c r="N78" s="441"/>
      <c r="O78" s="441"/>
      <c r="P78" s="442"/>
      <c r="Q78" s="207"/>
      <c r="R78" s="207"/>
      <c r="S78" s="207"/>
      <c r="T78" s="207"/>
      <c r="U78" s="208"/>
      <c r="V78" s="206"/>
      <c r="W78" s="206"/>
      <c r="X78" s="206"/>
      <c r="Y78" s="206"/>
      <c r="Z78" s="206"/>
      <c r="AA78" s="206"/>
      <c r="AB78" s="206"/>
      <c r="AC78" s="321"/>
      <c r="AD78" s="206"/>
    </row>
    <row r="79" spans="1:38" ht="15" thickBot="1">
      <c r="AA79" s="210"/>
      <c r="AC79" s="217"/>
      <c r="AD79" s="206"/>
      <c r="AE79" s="206"/>
    </row>
    <row r="80" spans="1:38" ht="26.5" thickBot="1">
      <c r="I80" s="443" t="s">
        <v>105</v>
      </c>
      <c r="J80" s="444"/>
      <c r="K80" s="445"/>
      <c r="L80" s="444"/>
      <c r="M80" s="444"/>
      <c r="N80" s="446"/>
      <c r="O80" s="323"/>
      <c r="P80" s="323"/>
      <c r="Q80" s="324"/>
      <c r="R80" s="324"/>
      <c r="S80" s="324"/>
      <c r="T80" s="324"/>
      <c r="U80" s="324"/>
      <c r="W80" s="206"/>
      <c r="X80" s="206"/>
      <c r="Y80" s="206"/>
      <c r="Z80" s="206"/>
      <c r="AA80" s="206"/>
      <c r="AB80" s="206"/>
      <c r="AC80" s="217"/>
      <c r="AD80" s="206"/>
      <c r="AE80" s="206"/>
      <c r="AG80" s="206"/>
    </row>
    <row r="81" spans="1:32" ht="16" thickBot="1">
      <c r="I81" s="325" t="s">
        <v>106</v>
      </c>
      <c r="J81" s="211" t="s">
        <v>107</v>
      </c>
      <c r="K81" s="326"/>
      <c r="L81" s="211" t="s">
        <v>108</v>
      </c>
      <c r="M81" s="327" t="s">
        <v>109</v>
      </c>
      <c r="N81" s="328"/>
      <c r="Q81" s="237"/>
      <c r="R81" s="237"/>
      <c r="S81" s="237"/>
      <c r="T81" s="237"/>
      <c r="U81" s="237"/>
      <c r="W81" s="206"/>
      <c r="X81" s="206"/>
      <c r="Y81" s="206"/>
      <c r="Z81" s="206"/>
      <c r="AA81" s="206"/>
      <c r="AB81" s="206"/>
      <c r="AC81" s="144"/>
      <c r="AF81" s="103"/>
    </row>
    <row r="82" spans="1:32" ht="29">
      <c r="I82" s="214">
        <v>1</v>
      </c>
      <c r="J82" s="215" t="s">
        <v>110</v>
      </c>
      <c r="K82" s="329"/>
      <c r="L82" s="216">
        <f>L73</f>
        <v>1453395</v>
      </c>
      <c r="M82" s="330" t="s">
        <v>111</v>
      </c>
      <c r="N82" s="331"/>
      <c r="O82" s="206"/>
      <c r="Q82" s="332"/>
      <c r="R82" s="332"/>
      <c r="S82" s="332"/>
      <c r="T82" s="332"/>
      <c r="U82" s="333"/>
    </row>
    <row r="83" spans="1:32" ht="29.5" thickBot="1">
      <c r="I83" s="218">
        <v>2</v>
      </c>
      <c r="J83" s="219" t="s">
        <v>112</v>
      </c>
      <c r="K83" s="334"/>
      <c r="L83" s="220">
        <f>M73</f>
        <v>10978461</v>
      </c>
      <c r="M83" s="335" t="s">
        <v>111</v>
      </c>
      <c r="N83" s="331"/>
      <c r="Q83" s="336"/>
      <c r="R83" s="336"/>
      <c r="S83" s="337"/>
      <c r="T83" s="337"/>
      <c r="U83" s="338"/>
    </row>
    <row r="84" spans="1:32" ht="29">
      <c r="G84" s="209">
        <f>G83-G82</f>
        <v>0</v>
      </c>
      <c r="I84" s="214">
        <v>3</v>
      </c>
      <c r="J84" s="215" t="s">
        <v>113</v>
      </c>
      <c r="K84" s="329"/>
      <c r="L84" s="216">
        <f>N73-N39</f>
        <v>6605463</v>
      </c>
      <c r="M84" s="330" t="s">
        <v>111</v>
      </c>
      <c r="N84" s="447" t="s">
        <v>114</v>
      </c>
      <c r="Q84" s="336"/>
      <c r="R84" s="336"/>
      <c r="S84" s="337"/>
      <c r="T84" s="337"/>
      <c r="U84" s="339"/>
    </row>
    <row r="85" spans="1:32" ht="44" thickBot="1">
      <c r="B85" s="144"/>
      <c r="C85" s="144"/>
      <c r="I85" s="221">
        <v>3</v>
      </c>
      <c r="J85" s="222" t="s">
        <v>115</v>
      </c>
      <c r="K85" s="340"/>
      <c r="L85" s="223">
        <v>125000</v>
      </c>
      <c r="M85" s="341" t="s">
        <v>116</v>
      </c>
      <c r="N85" s="448"/>
      <c r="Q85" s="336"/>
      <c r="R85" s="336"/>
      <c r="S85" s="337"/>
      <c r="T85" s="337"/>
      <c r="U85" s="339"/>
      <c r="AC85" s="103"/>
      <c r="AD85" s="206"/>
    </row>
    <row r="86" spans="1:32" ht="29.5" thickBot="1">
      <c r="B86" s="144"/>
      <c r="C86" s="144"/>
      <c r="I86" s="221">
        <v>4</v>
      </c>
      <c r="J86" s="224" t="s">
        <v>117</v>
      </c>
      <c r="K86" s="342"/>
      <c r="L86" s="223">
        <f>O73</f>
        <v>10610813.75</v>
      </c>
      <c r="M86" s="330" t="s">
        <v>111</v>
      </c>
      <c r="N86" s="343"/>
      <c r="Q86" s="336"/>
      <c r="R86" s="336"/>
      <c r="S86" s="337"/>
      <c r="T86" s="337"/>
      <c r="U86" s="339"/>
      <c r="AC86" s="103"/>
      <c r="AD86" s="206"/>
    </row>
    <row r="87" spans="1:32" ht="29.5" thickBot="1">
      <c r="A87" t="s">
        <v>280</v>
      </c>
      <c r="B87" s="144"/>
      <c r="C87" s="144"/>
      <c r="I87" s="221">
        <v>5</v>
      </c>
      <c r="J87" s="224" t="s">
        <v>118</v>
      </c>
      <c r="K87" s="342"/>
      <c r="L87" s="223">
        <f>P73</f>
        <v>9405459.5</v>
      </c>
      <c r="M87" s="330" t="s">
        <v>111</v>
      </c>
      <c r="N87" s="343"/>
      <c r="Q87" s="336"/>
      <c r="R87" s="336"/>
      <c r="S87" s="337"/>
      <c r="T87" s="337"/>
      <c r="U87" s="339"/>
      <c r="AC87" s="103"/>
      <c r="AD87" s="206"/>
    </row>
    <row r="88" spans="1:32" ht="29.5" thickBot="1">
      <c r="B88" s="144"/>
      <c r="C88" s="144"/>
      <c r="I88" s="221">
        <v>6</v>
      </c>
      <c r="J88" s="224" t="s">
        <v>119</v>
      </c>
      <c r="K88" s="344"/>
      <c r="L88" s="225">
        <f>Q73</f>
        <v>12804524.5</v>
      </c>
      <c r="M88" s="345" t="s">
        <v>111</v>
      </c>
      <c r="N88" s="343"/>
      <c r="Q88" s="332"/>
      <c r="R88" s="346"/>
      <c r="S88" s="333"/>
      <c r="T88" s="333"/>
      <c r="U88" s="213"/>
      <c r="AC88" s="103"/>
      <c r="AD88" s="206"/>
    </row>
    <row r="89" spans="1:32" ht="29.5" thickBot="1">
      <c r="B89" s="144"/>
      <c r="C89" s="144"/>
      <c r="I89" s="221">
        <v>7</v>
      </c>
      <c r="J89" s="224" t="s">
        <v>120</v>
      </c>
      <c r="K89" s="344"/>
      <c r="L89" s="225">
        <f>R73</f>
        <v>2964927</v>
      </c>
      <c r="M89" s="347" t="s">
        <v>111</v>
      </c>
      <c r="N89" s="343"/>
      <c r="Q89" s="336"/>
      <c r="R89" s="348"/>
      <c r="S89" s="239"/>
      <c r="T89" s="239"/>
      <c r="AC89" s="103"/>
      <c r="AD89" s="206"/>
    </row>
    <row r="90" spans="1:32" ht="29.5" thickBot="1">
      <c r="B90" s="144"/>
      <c r="C90" s="144"/>
      <c r="I90" s="221">
        <v>8</v>
      </c>
      <c r="J90" s="224" t="s">
        <v>121</v>
      </c>
      <c r="K90" s="344"/>
      <c r="L90" s="225">
        <f>S73</f>
        <v>11293980.35</v>
      </c>
      <c r="M90" s="347" t="s">
        <v>111</v>
      </c>
      <c r="N90" s="343"/>
      <c r="Q90" s="336"/>
      <c r="R90" s="348"/>
      <c r="S90" s="239"/>
      <c r="T90" s="239"/>
      <c r="AC90" s="103"/>
      <c r="AD90" s="206"/>
    </row>
    <row r="91" spans="1:32" ht="29.5" thickBot="1">
      <c r="A91" t="s">
        <v>285</v>
      </c>
      <c r="B91" s="144"/>
      <c r="C91" s="144"/>
      <c r="I91" s="226"/>
      <c r="J91" s="227"/>
      <c r="K91" s="227"/>
      <c r="L91" s="228"/>
      <c r="M91" s="345" t="s">
        <v>111</v>
      </c>
      <c r="N91" s="343"/>
      <c r="AC91" s="103"/>
      <c r="AD91" s="206"/>
    </row>
    <row r="92" spans="1:32" ht="29.5" thickBot="1">
      <c r="A92" t="s">
        <v>286</v>
      </c>
      <c r="B92" s="206"/>
      <c r="C92" s="206"/>
      <c r="I92" s="349">
        <v>9</v>
      </c>
      <c r="J92" s="224" t="s">
        <v>122</v>
      </c>
      <c r="K92" s="350"/>
      <c r="L92" s="351">
        <f>T73</f>
        <v>5873635</v>
      </c>
      <c r="M92" s="224" t="s">
        <v>111</v>
      </c>
      <c r="O92" s="230"/>
      <c r="P92" s="230"/>
      <c r="Q92" s="336"/>
      <c r="R92" s="336"/>
      <c r="S92" s="337"/>
      <c r="T92" s="337"/>
      <c r="U92" s="336"/>
      <c r="AC92" s="103"/>
      <c r="AD92" s="206"/>
    </row>
    <row r="93" spans="1:32" ht="15" thickBot="1">
      <c r="B93" s="206"/>
      <c r="C93" s="206"/>
      <c r="I93" s="349"/>
      <c r="J93" s="352"/>
      <c r="M93" s="353"/>
      <c r="Q93" s="336"/>
      <c r="R93" s="336"/>
      <c r="S93" s="337"/>
      <c r="T93" s="337"/>
      <c r="U93" s="338"/>
      <c r="AD93" s="206"/>
    </row>
    <row r="94" spans="1:32" ht="29.5" thickBot="1">
      <c r="B94" s="206"/>
      <c r="C94" s="206"/>
      <c r="I94" s="449" t="s">
        <v>123</v>
      </c>
      <c r="J94" s="450"/>
      <c r="K94" s="354"/>
      <c r="L94" s="355">
        <f>SUM(L82:L93)</f>
        <v>72115659.099999994</v>
      </c>
      <c r="M94" s="356" t="s">
        <v>287</v>
      </c>
      <c r="N94" s="357"/>
      <c r="Q94" s="336"/>
      <c r="R94" s="336"/>
      <c r="S94" s="337"/>
      <c r="T94" s="337"/>
      <c r="U94" s="336"/>
      <c r="AD94" s="103"/>
    </row>
    <row r="95" spans="1:32" ht="31.5" thickBot="1">
      <c r="A95" t="s">
        <v>290</v>
      </c>
      <c r="B95" s="103"/>
      <c r="C95" s="103"/>
      <c r="I95" s="358" t="s">
        <v>125</v>
      </c>
      <c r="J95" s="359"/>
      <c r="K95" s="360"/>
      <c r="L95" s="229">
        <f>U73+V73+W73+X73+Y73+Z73</f>
        <v>2756778.35</v>
      </c>
      <c r="M95" s="231" t="s">
        <v>126</v>
      </c>
      <c r="N95" s="331"/>
      <c r="O95" s="236"/>
      <c r="P95" s="236"/>
      <c r="Q95" s="336"/>
      <c r="R95" s="336"/>
      <c r="S95" s="337"/>
      <c r="T95" s="337"/>
      <c r="U95" s="336"/>
      <c r="AD95" s="103"/>
    </row>
    <row r="96" spans="1:32" ht="44" thickBot="1">
      <c r="B96" s="103"/>
      <c r="C96" s="103"/>
      <c r="I96" s="361" t="s">
        <v>127</v>
      </c>
      <c r="J96" s="362"/>
      <c r="K96" s="354"/>
      <c r="L96" s="363">
        <f>L94-L95</f>
        <v>69358880.75</v>
      </c>
      <c r="M96" s="233" t="s">
        <v>128</v>
      </c>
      <c r="N96" s="353"/>
      <c r="Q96" s="336"/>
      <c r="R96" s="336"/>
      <c r="S96" s="336"/>
      <c r="T96" s="336"/>
      <c r="U96" s="336"/>
    </row>
    <row r="97" spans="9:28" customFormat="1" ht="15" thickBot="1">
      <c r="I97" s="364"/>
      <c r="J97" s="365"/>
      <c r="K97" s="366"/>
      <c r="L97" s="365"/>
      <c r="M97" s="365"/>
      <c r="N97" s="367"/>
      <c r="O97" s="206"/>
      <c r="Q97" s="336"/>
      <c r="R97" s="336"/>
      <c r="S97" s="337"/>
      <c r="T97" s="337"/>
      <c r="U97" s="337"/>
    </row>
    <row r="98" spans="9:28" customFormat="1" ht="29.5" thickBot="1">
      <c r="I98" s="465" t="s">
        <v>129</v>
      </c>
      <c r="J98" s="232" t="s">
        <v>130</v>
      </c>
      <c r="K98" s="368"/>
      <c r="L98" s="232" t="s">
        <v>131</v>
      </c>
      <c r="M98" s="369" t="s">
        <v>132</v>
      </c>
      <c r="N98" s="212"/>
      <c r="O98" s="206"/>
      <c r="Q98" s="455"/>
      <c r="R98" s="455"/>
      <c r="S98" s="370"/>
      <c r="T98" s="370"/>
      <c r="U98" s="371"/>
    </row>
    <row r="99" spans="9:28" customFormat="1" ht="16" thickBot="1">
      <c r="I99" s="466"/>
      <c r="J99" s="234">
        <v>125000</v>
      </c>
      <c r="K99" s="372"/>
      <c r="L99" s="235">
        <f>L96-J99</f>
        <v>69233880.75</v>
      </c>
      <c r="M99" s="373">
        <f>J99+L99</f>
        <v>69358880.75</v>
      </c>
      <c r="N99" s="374"/>
      <c r="O99" s="206"/>
      <c r="Q99" s="455"/>
      <c r="R99" s="455"/>
      <c r="S99" s="375"/>
      <c r="T99" s="375"/>
      <c r="U99" s="371"/>
    </row>
    <row r="100" spans="9:28" customFormat="1" ht="15.5">
      <c r="I100" s="108"/>
      <c r="K100" s="322"/>
      <c r="N100" s="206"/>
      <c r="O100" s="206"/>
      <c r="Q100" s="456"/>
      <c r="R100" s="456"/>
      <c r="S100" s="370"/>
      <c r="T100" s="370"/>
      <c r="U100" s="371"/>
    </row>
    <row r="101" spans="9:28" customFormat="1" ht="16" thickBot="1">
      <c r="I101" s="108"/>
      <c r="K101" s="322"/>
      <c r="N101" s="206"/>
      <c r="O101" s="206"/>
      <c r="Q101" s="456"/>
      <c r="R101" s="456"/>
      <c r="S101" s="370"/>
      <c r="T101" s="370"/>
      <c r="U101" s="371"/>
    </row>
    <row r="102" spans="9:28" customFormat="1" ht="26.5" thickBot="1">
      <c r="I102" s="457" t="s">
        <v>291</v>
      </c>
      <c r="J102" s="458"/>
      <c r="K102" s="459"/>
      <c r="L102" s="458"/>
      <c r="M102" s="460"/>
      <c r="N102" s="206"/>
      <c r="O102" s="206"/>
    </row>
    <row r="103" spans="9:28" customFormat="1" ht="19" thickBot="1">
      <c r="I103" s="461" t="s">
        <v>331</v>
      </c>
      <c r="J103" s="462"/>
      <c r="K103" s="463"/>
      <c r="L103" s="462"/>
      <c r="M103" s="464"/>
      <c r="N103" s="206"/>
      <c r="O103" s="206"/>
    </row>
    <row r="104" spans="9:28" customFormat="1" ht="15" thickBot="1">
      <c r="I104" s="232" t="s">
        <v>106</v>
      </c>
      <c r="J104" s="232" t="s">
        <v>332</v>
      </c>
      <c r="K104" s="368"/>
      <c r="L104" s="232" t="s">
        <v>333</v>
      </c>
      <c r="M104" s="376" t="s">
        <v>109</v>
      </c>
    </row>
    <row r="105" spans="9:28" customFormat="1">
      <c r="I105" s="238">
        <v>1</v>
      </c>
      <c r="J105" s="238" t="s">
        <v>334</v>
      </c>
      <c r="K105" s="377"/>
      <c r="L105" s="378">
        <f>92258+58473</f>
        <v>150731</v>
      </c>
      <c r="M105" s="379"/>
    </row>
    <row r="106" spans="9:28" customFormat="1">
      <c r="I106" s="240">
        <v>2</v>
      </c>
      <c r="J106" s="240" t="s">
        <v>335</v>
      </c>
      <c r="K106" s="380"/>
      <c r="L106" s="381">
        <v>203432</v>
      </c>
      <c r="M106" s="382"/>
      <c r="N106" s="236"/>
      <c r="O106" s="236"/>
      <c r="P106" s="241"/>
      <c r="Q106" s="236"/>
      <c r="R106" s="236"/>
      <c r="S106" s="236"/>
      <c r="T106" s="236"/>
      <c r="U106" s="144"/>
      <c r="V106" s="144"/>
      <c r="W106" s="144"/>
      <c r="X106" s="144"/>
      <c r="Y106" s="144"/>
      <c r="Z106" s="144"/>
      <c r="AA106" s="144"/>
      <c r="AB106" s="144"/>
    </row>
    <row r="107" spans="9:28" customFormat="1">
      <c r="I107" s="240">
        <v>3</v>
      </c>
      <c r="J107" s="240" t="s">
        <v>73</v>
      </c>
      <c r="K107" s="380"/>
      <c r="L107" s="381">
        <v>120986</v>
      </c>
      <c r="M107" s="382"/>
      <c r="N107" s="236"/>
      <c r="O107" s="236"/>
      <c r="P107" s="241"/>
      <c r="Q107" s="236"/>
      <c r="R107" s="236"/>
      <c r="S107" s="236"/>
      <c r="T107" s="236"/>
      <c r="U107" s="144"/>
      <c r="V107" s="144"/>
      <c r="W107" s="144"/>
      <c r="X107" s="144"/>
      <c r="Y107" s="144"/>
      <c r="Z107" s="144"/>
      <c r="AA107" s="144"/>
      <c r="AB107" s="144"/>
    </row>
    <row r="108" spans="9:28" customFormat="1">
      <c r="I108" s="240">
        <v>4</v>
      </c>
      <c r="J108" s="240" t="s">
        <v>336</v>
      </c>
      <c r="K108" s="380"/>
      <c r="L108" s="381">
        <v>228365</v>
      </c>
      <c r="M108" s="382"/>
      <c r="O108" s="236"/>
      <c r="P108" s="241"/>
      <c r="Q108" s="236"/>
      <c r="R108" s="236"/>
      <c r="S108" s="236"/>
      <c r="T108" s="236"/>
      <c r="U108" s="144"/>
      <c r="V108" s="144"/>
      <c r="W108" s="144"/>
      <c r="X108" s="144"/>
      <c r="Y108" s="144"/>
      <c r="Z108" s="144"/>
      <c r="AA108" s="144"/>
      <c r="AB108" s="144"/>
    </row>
    <row r="109" spans="9:28" customFormat="1">
      <c r="I109" s="240">
        <v>5</v>
      </c>
      <c r="J109" s="240" t="s">
        <v>82</v>
      </c>
      <c r="K109" s="380"/>
      <c r="L109" s="381">
        <v>98760</v>
      </c>
      <c r="M109" s="382"/>
    </row>
    <row r="110" spans="9:28" customFormat="1" ht="58">
      <c r="I110" s="383">
        <v>6</v>
      </c>
      <c r="J110" s="384" t="s">
        <v>337</v>
      </c>
      <c r="K110" s="385"/>
      <c r="L110" s="384">
        <v>142573</v>
      </c>
      <c r="M110" s="386" t="s">
        <v>338</v>
      </c>
    </row>
    <row r="111" spans="9:28" customFormat="1">
      <c r="I111" s="383">
        <v>7</v>
      </c>
      <c r="J111" s="387" t="s">
        <v>339</v>
      </c>
      <c r="K111" s="388"/>
      <c r="L111" s="389">
        <v>67050</v>
      </c>
      <c r="M111" s="390" t="s">
        <v>122</v>
      </c>
    </row>
    <row r="112" spans="9:28" customFormat="1">
      <c r="I112" s="383">
        <v>8</v>
      </c>
      <c r="J112" s="387" t="s">
        <v>340</v>
      </c>
      <c r="K112" s="388"/>
      <c r="L112" s="389">
        <v>177552</v>
      </c>
      <c r="M112" s="390" t="s">
        <v>122</v>
      </c>
      <c r="N112" s="103"/>
    </row>
    <row r="113" spans="9:14" customFormat="1">
      <c r="I113" s="383">
        <v>9</v>
      </c>
      <c r="J113" s="387" t="s">
        <v>341</v>
      </c>
      <c r="K113" s="388"/>
      <c r="L113" s="389">
        <v>123170</v>
      </c>
      <c r="M113" s="390" t="s">
        <v>122</v>
      </c>
      <c r="N113" s="103"/>
    </row>
    <row r="114" spans="9:14" customFormat="1" ht="15" thickBot="1">
      <c r="I114" s="391"/>
      <c r="J114" s="391"/>
      <c r="K114" s="392"/>
      <c r="L114" s="391"/>
      <c r="M114" s="390"/>
    </row>
    <row r="115" spans="9:14" customFormat="1" ht="16" thickBot="1">
      <c r="I115" s="451" t="s">
        <v>293</v>
      </c>
      <c r="J115" s="452"/>
      <c r="K115" s="393"/>
      <c r="L115" s="394">
        <f>SUM(L105:L114)</f>
        <v>1312619</v>
      </c>
      <c r="M115" s="395"/>
    </row>
    <row r="116" spans="9:14" customFormat="1" ht="16" thickBot="1">
      <c r="I116" s="451" t="s">
        <v>294</v>
      </c>
      <c r="J116" s="452"/>
      <c r="K116" s="393"/>
      <c r="L116" s="396">
        <f>L117-L115</f>
        <v>68046261.75</v>
      </c>
      <c r="M116" s="397"/>
    </row>
    <row r="117" spans="9:14" customFormat="1" ht="16" thickBot="1">
      <c r="I117" s="453" t="s">
        <v>342</v>
      </c>
      <c r="J117" s="454"/>
      <c r="K117" s="398"/>
      <c r="L117" s="399">
        <f>M99</f>
        <v>69358880.75</v>
      </c>
      <c r="M117" s="397"/>
    </row>
  </sheetData>
  <mergeCells count="27">
    <mergeCell ref="I115:J115"/>
    <mergeCell ref="I116:J116"/>
    <mergeCell ref="I117:J117"/>
    <mergeCell ref="Q98:R98"/>
    <mergeCell ref="Q99:R99"/>
    <mergeCell ref="Q100:R100"/>
    <mergeCell ref="Q101:R101"/>
    <mergeCell ref="I102:M102"/>
    <mergeCell ref="I103:M103"/>
    <mergeCell ref="I98:I99"/>
    <mergeCell ref="A78:J78"/>
    <mergeCell ref="L78:P78"/>
    <mergeCell ref="I80:N80"/>
    <mergeCell ref="N84:N85"/>
    <mergeCell ref="I94:J94"/>
    <mergeCell ref="A73:D73"/>
    <mergeCell ref="AD73:AF73"/>
    <mergeCell ref="A74:J75"/>
    <mergeCell ref="L74:P75"/>
    <mergeCell ref="A76:J77"/>
    <mergeCell ref="L76:P77"/>
    <mergeCell ref="AN27:AO27"/>
    <mergeCell ref="A1:AC1"/>
    <mergeCell ref="A2:AC2"/>
    <mergeCell ref="A3:D3"/>
    <mergeCell ref="AD3:AF3"/>
    <mergeCell ref="AK27:AL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9"/>
  <sheetViews>
    <sheetView topLeftCell="H58" zoomScale="70" zoomScaleNormal="70" workbookViewId="0">
      <selection activeCell="W74" sqref="W74"/>
    </sheetView>
  </sheetViews>
  <sheetFormatPr defaultRowHeight="21"/>
  <cols>
    <col min="1" max="1" width="17.7265625" style="483" hidden="1" customWidth="1"/>
    <col min="2" max="2" width="48.81640625" style="483" customWidth="1"/>
    <col min="3" max="3" width="24" style="483" hidden="1" customWidth="1"/>
    <col min="4" max="4" width="1.08984375" style="483" hidden="1" customWidth="1"/>
    <col min="5" max="5" width="38.81640625" style="683" customWidth="1"/>
    <col min="6" max="6" width="19" style="683" hidden="1" customWidth="1"/>
    <col min="7" max="7" width="20.08984375" style="483" hidden="1" customWidth="1"/>
    <col min="8" max="8" width="36.36328125" style="537" customWidth="1"/>
    <col min="9" max="9" width="33" style="483" customWidth="1"/>
    <col min="10" max="10" width="17.453125" style="483" hidden="1" customWidth="1"/>
    <col min="11" max="11" width="19.90625" style="483" hidden="1" customWidth="1"/>
    <col min="12" max="12" width="19.453125" style="483" hidden="1" customWidth="1"/>
    <col min="13" max="17" width="19.90625" style="483" hidden="1" customWidth="1"/>
    <col min="18" max="18" width="19.81640625" style="483" hidden="1" customWidth="1"/>
    <col min="19" max="21" width="17.453125" style="483" hidden="1" customWidth="1"/>
    <col min="22" max="22" width="0.90625" style="483" hidden="1" customWidth="1"/>
    <col min="23" max="23" width="37.54296875" style="483" customWidth="1"/>
    <col min="24" max="24" width="42.26953125" style="483" customWidth="1"/>
    <col min="25" max="25" width="52.54296875" style="483" customWidth="1"/>
    <col min="26" max="26" width="12.6328125" style="483" hidden="1" customWidth="1"/>
    <col min="27" max="27" width="19.81640625" style="483" hidden="1" customWidth="1"/>
    <col min="28" max="28" width="0.1796875" style="483" hidden="1" customWidth="1"/>
    <col min="29" max="29" width="8.7265625" style="483"/>
    <col min="30" max="30" width="22" style="483" bestFit="1" customWidth="1"/>
    <col min="31" max="33" width="8.7265625" style="483"/>
    <col min="34" max="34" width="14.453125" style="483" bestFit="1" customWidth="1"/>
    <col min="35" max="36" width="8.7265625" style="483"/>
    <col min="37" max="37" width="14.453125" style="483" bestFit="1" customWidth="1"/>
    <col min="38" max="38" width="8.7265625" style="483"/>
    <col min="39" max="39" width="14.453125" style="483" bestFit="1" customWidth="1"/>
    <col min="40" max="16384" width="8.7265625" style="483"/>
  </cols>
  <sheetData>
    <row r="1" spans="1:30" ht="21.5" thickBot="1">
      <c r="A1" s="479" t="s">
        <v>135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1"/>
      <c r="AA1" s="481"/>
      <c r="AB1" s="482"/>
    </row>
    <row r="2" spans="1:30" ht="21.5" thickBot="1">
      <c r="A2" s="484" t="s">
        <v>136</v>
      </c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1"/>
      <c r="AA2" s="481"/>
      <c r="AB2" s="481"/>
    </row>
    <row r="3" spans="1:30" ht="210.5" thickBot="1">
      <c r="A3" s="486" t="s">
        <v>137</v>
      </c>
      <c r="B3" s="487"/>
      <c r="C3" s="488"/>
      <c r="D3" s="489"/>
      <c r="E3" s="490">
        <f>SUM(E5:E69)</f>
        <v>281757875</v>
      </c>
      <c r="F3" s="490">
        <f>SUM(F5:F69)</f>
        <v>93007548.799999997</v>
      </c>
      <c r="G3" s="491">
        <f>SUM(G5:G69)</f>
        <v>109343401.2</v>
      </c>
      <c r="H3" s="491">
        <f>SUM(H5:H69)</f>
        <v>82678774</v>
      </c>
      <c r="I3" s="491">
        <f>SUM(I5:I69)</f>
        <v>192022175.19999999</v>
      </c>
      <c r="J3" s="492" t="s">
        <v>138</v>
      </c>
      <c r="K3" s="492" t="s">
        <v>139</v>
      </c>
      <c r="L3" s="492" t="s">
        <v>138</v>
      </c>
      <c r="M3" s="492" t="s">
        <v>138</v>
      </c>
      <c r="N3" s="492" t="s">
        <v>138</v>
      </c>
      <c r="O3" s="492" t="s">
        <v>138</v>
      </c>
      <c r="P3" s="492" t="s">
        <v>138</v>
      </c>
      <c r="Q3" s="493" t="s">
        <v>138</v>
      </c>
      <c r="R3" s="494" t="s">
        <v>140</v>
      </c>
      <c r="S3" s="494" t="s">
        <v>140</v>
      </c>
      <c r="T3" s="494" t="s">
        <v>140</v>
      </c>
      <c r="U3" s="494" t="s">
        <v>140</v>
      </c>
      <c r="V3" s="494" t="s">
        <v>140</v>
      </c>
      <c r="W3" s="492" t="s">
        <v>141</v>
      </c>
      <c r="X3" s="495" t="s">
        <v>142</v>
      </c>
      <c r="Y3" s="496" t="s">
        <v>143</v>
      </c>
      <c r="Z3" s="497" t="s">
        <v>144</v>
      </c>
      <c r="AA3" s="498"/>
      <c r="AB3" s="499"/>
    </row>
    <row r="4" spans="1:30" ht="336.5" thickBot="1">
      <c r="A4" s="500" t="s">
        <v>106</v>
      </c>
      <c r="B4" s="500" t="s">
        <v>145</v>
      </c>
      <c r="C4" s="500" t="s">
        <v>146</v>
      </c>
      <c r="D4" s="501" t="s">
        <v>147</v>
      </c>
      <c r="E4" s="502" t="s">
        <v>5</v>
      </c>
      <c r="F4" s="503" t="s">
        <v>148</v>
      </c>
      <c r="G4" s="501" t="s">
        <v>149</v>
      </c>
      <c r="H4" s="501" t="s">
        <v>150</v>
      </c>
      <c r="I4" s="501" t="s">
        <v>151</v>
      </c>
      <c r="J4" s="504" t="s">
        <v>152</v>
      </c>
      <c r="K4" s="504" t="s">
        <v>153</v>
      </c>
      <c r="L4" s="504" t="s">
        <v>154</v>
      </c>
      <c r="M4" s="504" t="s">
        <v>155</v>
      </c>
      <c r="N4" s="505" t="s">
        <v>156</v>
      </c>
      <c r="O4" s="504" t="s">
        <v>157</v>
      </c>
      <c r="P4" s="504" t="s">
        <v>158</v>
      </c>
      <c r="Q4" s="506" t="s">
        <v>159</v>
      </c>
      <c r="R4" s="507" t="s">
        <v>160</v>
      </c>
      <c r="S4" s="507" t="s">
        <v>161</v>
      </c>
      <c r="T4" s="507" t="s">
        <v>157</v>
      </c>
      <c r="U4" s="507" t="s">
        <v>158</v>
      </c>
      <c r="V4" s="508" t="s">
        <v>159</v>
      </c>
      <c r="W4" s="504" t="s">
        <v>162</v>
      </c>
      <c r="X4" s="509" t="s">
        <v>163</v>
      </c>
      <c r="Y4" s="510" t="s">
        <v>164</v>
      </c>
      <c r="Z4" s="511" t="s">
        <v>165</v>
      </c>
      <c r="AA4" s="511" t="s">
        <v>166</v>
      </c>
      <c r="AB4" s="512" t="s">
        <v>109</v>
      </c>
    </row>
    <row r="5" spans="1:30">
      <c r="A5" s="513">
        <v>1</v>
      </c>
      <c r="B5" s="514" t="s">
        <v>167</v>
      </c>
      <c r="C5" s="514"/>
      <c r="D5" s="514"/>
      <c r="E5" s="515">
        <f>875980+983800</f>
        <v>1859780</v>
      </c>
      <c r="F5" s="516">
        <f>E5-G5</f>
        <v>1574780</v>
      </c>
      <c r="G5" s="517">
        <v>285000</v>
      </c>
      <c r="H5" s="518">
        <v>0</v>
      </c>
      <c r="I5" s="519">
        <f>G5+H5</f>
        <v>285000</v>
      </c>
      <c r="J5" s="520">
        <v>0</v>
      </c>
      <c r="K5" s="520"/>
      <c r="L5" s="520"/>
      <c r="M5" s="520"/>
      <c r="N5" s="520"/>
      <c r="O5" s="520"/>
      <c r="P5" s="520"/>
      <c r="Q5" s="521"/>
      <c r="R5" s="520"/>
      <c r="S5" s="520"/>
      <c r="T5" s="520"/>
      <c r="U5" s="520"/>
      <c r="V5" s="522"/>
      <c r="W5" s="520">
        <f>SUM(J5:Q5)-SUM(R5:V5)</f>
        <v>0</v>
      </c>
      <c r="X5" s="520">
        <f>F5</f>
        <v>1574780</v>
      </c>
      <c r="Y5" s="523">
        <f>W5+X5</f>
        <v>1574780</v>
      </c>
      <c r="Z5" s="517"/>
      <c r="AA5" s="517" t="s">
        <v>168</v>
      </c>
      <c r="AB5" s="514"/>
    </row>
    <row r="6" spans="1:30">
      <c r="A6" s="524">
        <v>2</v>
      </c>
      <c r="B6" s="525" t="s">
        <v>169</v>
      </c>
      <c r="C6" s="525"/>
      <c r="D6" s="525"/>
      <c r="E6" s="526">
        <v>12281602</v>
      </c>
      <c r="F6" s="516">
        <f>E6-G6</f>
        <v>1260654</v>
      </c>
      <c r="G6" s="527">
        <f>'[3]Old Working'!L9</f>
        <v>11020948</v>
      </c>
      <c r="H6" s="518">
        <v>0</v>
      </c>
      <c r="I6" s="528">
        <f t="shared" ref="I6:I69" si="0">G6+H6</f>
        <v>11020948</v>
      </c>
      <c r="J6" s="529">
        <v>0</v>
      </c>
      <c r="K6" s="520"/>
      <c r="L6" s="520"/>
      <c r="M6" s="520">
        <v>441466.9</v>
      </c>
      <c r="N6" s="520"/>
      <c r="O6" s="520"/>
      <c r="P6" s="520"/>
      <c r="Q6" s="521"/>
      <c r="R6" s="520"/>
      <c r="S6" s="520"/>
      <c r="T6" s="520"/>
      <c r="U6" s="520"/>
      <c r="V6" s="522"/>
      <c r="W6" s="520">
        <f t="shared" ref="W6:W69" si="1">SUM(J6:Q6)-SUM(R6:V6)</f>
        <v>441466.9</v>
      </c>
      <c r="X6" s="520">
        <f t="shared" ref="X6:X69" si="2">F6</f>
        <v>1260654</v>
      </c>
      <c r="Y6" s="523">
        <f>W6+X6</f>
        <v>1702120.9</v>
      </c>
      <c r="Z6" s="527"/>
      <c r="AA6" s="517" t="s">
        <v>168</v>
      </c>
      <c r="AB6" s="525"/>
    </row>
    <row r="7" spans="1:30">
      <c r="A7" s="513">
        <v>3</v>
      </c>
      <c r="B7" s="525" t="s">
        <v>170</v>
      </c>
      <c r="C7" s="525"/>
      <c r="D7" s="525"/>
      <c r="E7" s="526">
        <v>480000</v>
      </c>
      <c r="F7" s="516">
        <f t="shared" ref="F7:F49" si="3">E7-G7</f>
        <v>363200</v>
      </c>
      <c r="G7" s="527">
        <f>'[3]Old Working'!L13</f>
        <v>116800</v>
      </c>
      <c r="H7" s="518">
        <v>0</v>
      </c>
      <c r="I7" s="528">
        <f t="shared" si="0"/>
        <v>116800</v>
      </c>
      <c r="J7" s="529">
        <v>0</v>
      </c>
      <c r="K7" s="520"/>
      <c r="L7" s="520"/>
      <c r="M7" s="520"/>
      <c r="N7" s="520"/>
      <c r="O7" s="520"/>
      <c r="P7" s="520"/>
      <c r="Q7" s="530"/>
      <c r="R7" s="520"/>
      <c r="S7" s="520"/>
      <c r="T7" s="520"/>
      <c r="U7" s="520"/>
      <c r="V7" s="522"/>
      <c r="W7" s="520">
        <f t="shared" si="1"/>
        <v>0</v>
      </c>
      <c r="X7" s="520">
        <f t="shared" si="2"/>
        <v>363200</v>
      </c>
      <c r="Y7" s="523">
        <f t="shared" ref="Y7:Y69" si="4">W7+X7</f>
        <v>363200</v>
      </c>
      <c r="Z7" s="527"/>
      <c r="AA7" s="527" t="s">
        <v>65</v>
      </c>
      <c r="AB7" s="525"/>
    </row>
    <row r="8" spans="1:30">
      <c r="A8" s="524">
        <v>4</v>
      </c>
      <c r="B8" s="525" t="s">
        <v>171</v>
      </c>
      <c r="C8" s="525"/>
      <c r="D8" s="525"/>
      <c r="E8" s="526">
        <v>1675761</v>
      </c>
      <c r="F8" s="516">
        <f>E8-G8</f>
        <v>1023779.3</v>
      </c>
      <c r="G8" s="527">
        <f>'[3]Old Working'!L24</f>
        <v>651981.69999999995</v>
      </c>
      <c r="H8" s="518">
        <v>473318</v>
      </c>
      <c r="I8" s="528">
        <f t="shared" si="0"/>
        <v>1125299.7</v>
      </c>
      <c r="J8" s="529">
        <v>0</v>
      </c>
      <c r="K8" s="520"/>
      <c r="L8" s="520"/>
      <c r="M8" s="520"/>
      <c r="N8" s="520"/>
      <c r="O8" s="531">
        <v>340990</v>
      </c>
      <c r="P8" s="531"/>
      <c r="Q8" s="530">
        <f>133992+282440</f>
        <v>416432</v>
      </c>
      <c r="R8" s="520"/>
      <c r="S8" s="520"/>
      <c r="T8" s="520"/>
      <c r="U8" s="520"/>
      <c r="V8" s="532">
        <v>282440</v>
      </c>
      <c r="W8" s="520">
        <f t="shared" si="1"/>
        <v>474982</v>
      </c>
      <c r="X8" s="520">
        <f t="shared" si="2"/>
        <v>1023779.3</v>
      </c>
      <c r="Y8" s="523">
        <f t="shared" si="4"/>
        <v>1498761.3</v>
      </c>
      <c r="Z8" s="527"/>
      <c r="AA8" s="527" t="s">
        <v>65</v>
      </c>
      <c r="AB8" s="525"/>
    </row>
    <row r="9" spans="1:30">
      <c r="A9" s="513">
        <v>5</v>
      </c>
      <c r="B9" s="525" t="s">
        <v>172</v>
      </c>
      <c r="C9" s="525"/>
      <c r="D9" s="525"/>
      <c r="E9" s="526">
        <v>11734161</v>
      </c>
      <c r="F9" s="516">
        <f t="shared" si="3"/>
        <v>1037342.5</v>
      </c>
      <c r="G9" s="527">
        <f>'[3]Old Working'!L28</f>
        <v>10696818.5</v>
      </c>
      <c r="H9" s="518">
        <v>0</v>
      </c>
      <c r="I9" s="528">
        <f t="shared" si="0"/>
        <v>10696818.5</v>
      </c>
      <c r="J9" s="529">
        <v>0</v>
      </c>
      <c r="K9" s="520"/>
      <c r="L9" s="520"/>
      <c r="M9" s="520">
        <v>1025696</v>
      </c>
      <c r="N9" s="520"/>
      <c r="O9" s="520"/>
      <c r="P9" s="520"/>
      <c r="Q9" s="530"/>
      <c r="R9" s="520"/>
      <c r="S9" s="520"/>
      <c r="T9" s="520"/>
      <c r="U9" s="520"/>
      <c r="V9" s="522"/>
      <c r="W9" s="520">
        <f t="shared" si="1"/>
        <v>1025696</v>
      </c>
      <c r="X9" s="520">
        <f t="shared" si="2"/>
        <v>1037342.5</v>
      </c>
      <c r="Y9" s="523">
        <f t="shared" si="4"/>
        <v>2063038.5</v>
      </c>
      <c r="Z9" s="527"/>
      <c r="AA9" s="527" t="s">
        <v>65</v>
      </c>
      <c r="AB9" s="525"/>
    </row>
    <row r="10" spans="1:30">
      <c r="A10" s="524">
        <v>6</v>
      </c>
      <c r="B10" s="525" t="s">
        <v>173</v>
      </c>
      <c r="C10" s="525"/>
      <c r="D10" s="525"/>
      <c r="E10" s="526">
        <v>2468800</v>
      </c>
      <c r="F10" s="516">
        <f t="shared" si="3"/>
        <v>735280</v>
      </c>
      <c r="G10" s="527">
        <f>'[3]Old Working'!L31</f>
        <v>1733520</v>
      </c>
      <c r="H10" s="518">
        <v>0</v>
      </c>
      <c r="I10" s="528">
        <f t="shared" si="0"/>
        <v>1733520</v>
      </c>
      <c r="J10" s="529">
        <v>0</v>
      </c>
      <c r="K10" s="520"/>
      <c r="L10" s="520"/>
      <c r="M10" s="520"/>
      <c r="N10" s="520"/>
      <c r="O10" s="520"/>
      <c r="P10" s="520"/>
      <c r="Q10" s="530">
        <v>785680</v>
      </c>
      <c r="R10" s="520"/>
      <c r="S10" s="520"/>
      <c r="T10" s="520"/>
      <c r="U10" s="520"/>
      <c r="V10" s="522"/>
      <c r="W10" s="520">
        <f t="shared" si="1"/>
        <v>785680</v>
      </c>
      <c r="X10" s="520">
        <f t="shared" si="2"/>
        <v>735280</v>
      </c>
      <c r="Y10" s="523">
        <f t="shared" si="4"/>
        <v>1520960</v>
      </c>
      <c r="Z10" s="527"/>
      <c r="AA10" s="527" t="s">
        <v>65</v>
      </c>
      <c r="AB10" s="525"/>
      <c r="AD10" s="533">
        <f>I3-J71</f>
        <v>125780151.09999999</v>
      </c>
    </row>
    <row r="11" spans="1:30" s="537" customFormat="1">
      <c r="A11" s="513">
        <v>7</v>
      </c>
      <c r="B11" s="525" t="s">
        <v>174</v>
      </c>
      <c r="C11" s="534"/>
      <c r="D11" s="534"/>
      <c r="E11" s="526">
        <v>6925030</v>
      </c>
      <c r="F11" s="516">
        <f t="shared" si="3"/>
        <v>3262387</v>
      </c>
      <c r="G11" s="527">
        <v>3662643</v>
      </c>
      <c r="H11" s="518">
        <v>2438531</v>
      </c>
      <c r="I11" s="528">
        <f t="shared" si="0"/>
        <v>6101174</v>
      </c>
      <c r="J11" s="529" t="s">
        <v>126</v>
      </c>
      <c r="K11" s="520" t="s">
        <v>126</v>
      </c>
      <c r="L11" s="531">
        <f>811706+162505</f>
        <v>974211</v>
      </c>
      <c r="M11" s="520">
        <v>203431.85</v>
      </c>
      <c r="N11" s="520"/>
      <c r="O11" s="531"/>
      <c r="P11" s="531"/>
      <c r="Q11" s="530">
        <v>1668274</v>
      </c>
      <c r="R11" s="531">
        <v>8283</v>
      </c>
      <c r="S11" s="531"/>
      <c r="T11" s="531"/>
      <c r="U11" s="531"/>
      <c r="V11" s="535"/>
      <c r="W11" s="520">
        <f t="shared" si="1"/>
        <v>2837633.85</v>
      </c>
      <c r="X11" s="520">
        <f t="shared" si="2"/>
        <v>3262387</v>
      </c>
      <c r="Y11" s="523">
        <f t="shared" si="4"/>
        <v>6100020.8499999996</v>
      </c>
      <c r="Z11" s="536"/>
      <c r="AA11" s="536" t="s">
        <v>19</v>
      </c>
      <c r="AB11" s="534"/>
      <c r="AD11" s="538"/>
    </row>
    <row r="12" spans="1:30" ht="42">
      <c r="A12" s="513">
        <v>8</v>
      </c>
      <c r="B12" s="539" t="s">
        <v>175</v>
      </c>
      <c r="C12" s="540"/>
      <c r="D12" s="540"/>
      <c r="E12" s="541">
        <v>1126004</v>
      </c>
      <c r="F12" s="516">
        <f t="shared" si="3"/>
        <v>0</v>
      </c>
      <c r="G12" s="527">
        <f>'[3]Old Working'!G59</f>
        <v>1126004</v>
      </c>
      <c r="H12" s="518">
        <v>0</v>
      </c>
      <c r="I12" s="528">
        <f t="shared" si="0"/>
        <v>1126004</v>
      </c>
      <c r="J12" s="529">
        <v>0</v>
      </c>
      <c r="K12" s="520"/>
      <c r="L12" s="520"/>
      <c r="M12" s="520"/>
      <c r="N12" s="520"/>
      <c r="O12" s="531">
        <v>114450</v>
      </c>
      <c r="P12" s="531"/>
      <c r="Q12" s="530"/>
      <c r="R12" s="520"/>
      <c r="S12" s="520"/>
      <c r="T12" s="520"/>
      <c r="U12" s="520"/>
      <c r="V12" s="522"/>
      <c r="W12" s="520">
        <f t="shared" si="1"/>
        <v>114450</v>
      </c>
      <c r="X12" s="520">
        <f t="shared" si="2"/>
        <v>0</v>
      </c>
      <c r="Y12" s="523">
        <f t="shared" si="4"/>
        <v>114450</v>
      </c>
      <c r="Z12" s="527"/>
      <c r="AA12" s="527" t="s">
        <v>65</v>
      </c>
      <c r="AB12" s="525"/>
    </row>
    <row r="13" spans="1:30" ht="42">
      <c r="A13" s="524">
        <v>9</v>
      </c>
      <c r="B13" s="539" t="s">
        <v>176</v>
      </c>
      <c r="C13" s="540"/>
      <c r="D13" s="540"/>
      <c r="E13" s="541">
        <v>3699991</v>
      </c>
      <c r="F13" s="516">
        <f t="shared" si="3"/>
        <v>0</v>
      </c>
      <c r="G13" s="527">
        <f>'[3]Old Working'!G60</f>
        <v>3699991</v>
      </c>
      <c r="H13" s="518">
        <v>0</v>
      </c>
      <c r="I13" s="528">
        <f t="shared" si="0"/>
        <v>3699991</v>
      </c>
      <c r="J13" s="529">
        <v>0</v>
      </c>
      <c r="K13" s="520"/>
      <c r="L13" s="520"/>
      <c r="M13" s="520"/>
      <c r="N13" s="520"/>
      <c r="O13" s="531">
        <v>267050</v>
      </c>
      <c r="P13" s="531"/>
      <c r="Q13" s="530"/>
      <c r="R13" s="520"/>
      <c r="S13" s="520"/>
      <c r="T13" s="520"/>
      <c r="U13" s="520"/>
      <c r="V13" s="522"/>
      <c r="W13" s="520">
        <f t="shared" si="1"/>
        <v>267050</v>
      </c>
      <c r="X13" s="520">
        <f t="shared" si="2"/>
        <v>0</v>
      </c>
      <c r="Y13" s="523">
        <f t="shared" si="4"/>
        <v>267050</v>
      </c>
      <c r="Z13" s="527"/>
      <c r="AA13" s="527" t="s">
        <v>65</v>
      </c>
      <c r="AB13" s="525"/>
    </row>
    <row r="14" spans="1:30" ht="409.5">
      <c r="A14" s="513">
        <v>10</v>
      </c>
      <c r="B14" s="539" t="s">
        <v>177</v>
      </c>
      <c r="C14" s="539" t="s">
        <v>178</v>
      </c>
      <c r="D14" s="539"/>
      <c r="E14" s="542">
        <v>2832390</v>
      </c>
      <c r="F14" s="516">
        <f>E14-G14</f>
        <v>0</v>
      </c>
      <c r="G14" s="527">
        <f>'[3]Old Working'!G61</f>
        <v>2832390</v>
      </c>
      <c r="H14" s="518">
        <v>0</v>
      </c>
      <c r="I14" s="528">
        <f t="shared" si="0"/>
        <v>2832390</v>
      </c>
      <c r="J14" s="529">
        <v>0</v>
      </c>
      <c r="K14" s="529"/>
      <c r="L14" s="529"/>
      <c r="M14" s="520"/>
      <c r="N14" s="520">
        <v>158790</v>
      </c>
      <c r="O14" s="531">
        <v>110642</v>
      </c>
      <c r="P14" s="531"/>
      <c r="Q14" s="521">
        <v>271985</v>
      </c>
      <c r="R14" s="520"/>
      <c r="S14" s="520"/>
      <c r="T14" s="520">
        <v>158790</v>
      </c>
      <c r="U14" s="520"/>
      <c r="V14" s="522"/>
      <c r="W14" s="520">
        <f t="shared" si="1"/>
        <v>382627</v>
      </c>
      <c r="X14" s="520">
        <f t="shared" si="2"/>
        <v>0</v>
      </c>
      <c r="Y14" s="523">
        <f t="shared" si="4"/>
        <v>382627</v>
      </c>
      <c r="Z14" s="527" t="s">
        <v>179</v>
      </c>
      <c r="AA14" s="527" t="s">
        <v>65</v>
      </c>
      <c r="AB14" s="543" t="s">
        <v>180</v>
      </c>
    </row>
    <row r="15" spans="1:30" ht="409.5">
      <c r="A15" s="524">
        <v>11</v>
      </c>
      <c r="B15" s="539" t="s">
        <v>181</v>
      </c>
      <c r="C15" s="539" t="s">
        <v>182</v>
      </c>
      <c r="D15" s="539"/>
      <c r="E15" s="542">
        <v>4100000</v>
      </c>
      <c r="F15" s="516">
        <f t="shared" si="3"/>
        <v>0</v>
      </c>
      <c r="G15" s="527">
        <f>'[3]Old Working'!G62</f>
        <v>4100000</v>
      </c>
      <c r="H15" s="518">
        <v>0</v>
      </c>
      <c r="I15" s="528">
        <f t="shared" si="0"/>
        <v>4100000</v>
      </c>
      <c r="J15" s="529">
        <v>0</v>
      </c>
      <c r="K15" s="529"/>
      <c r="L15" s="529"/>
      <c r="M15" s="520"/>
      <c r="N15" s="520">
        <v>223703</v>
      </c>
      <c r="O15" s="531">
        <v>152303</v>
      </c>
      <c r="P15" s="531"/>
      <c r="Q15" s="521">
        <v>283010</v>
      </c>
      <c r="R15" s="520"/>
      <c r="S15" s="520"/>
      <c r="T15" s="520">
        <v>223703</v>
      </c>
      <c r="U15" s="520"/>
      <c r="V15" s="522"/>
      <c r="W15" s="520">
        <f t="shared" si="1"/>
        <v>435313</v>
      </c>
      <c r="X15" s="520">
        <f t="shared" si="2"/>
        <v>0</v>
      </c>
      <c r="Y15" s="523">
        <f t="shared" si="4"/>
        <v>435313</v>
      </c>
      <c r="Z15" s="527" t="s">
        <v>179</v>
      </c>
      <c r="AA15" s="527" t="s">
        <v>65</v>
      </c>
      <c r="AB15" s="543" t="s">
        <v>180</v>
      </c>
    </row>
    <row r="16" spans="1:30" ht="126">
      <c r="A16" s="513">
        <v>12</v>
      </c>
      <c r="B16" s="539" t="s">
        <v>183</v>
      </c>
      <c r="C16" s="539" t="s">
        <v>184</v>
      </c>
      <c r="D16" s="539"/>
      <c r="E16" s="542">
        <v>922583</v>
      </c>
      <c r="F16" s="516">
        <f>E16-G16-H16</f>
        <v>0</v>
      </c>
      <c r="G16" s="544">
        <v>0</v>
      </c>
      <c r="H16" s="518">
        <v>922583</v>
      </c>
      <c r="I16" s="528">
        <f t="shared" si="0"/>
        <v>922583</v>
      </c>
      <c r="J16" s="529">
        <v>0</v>
      </c>
      <c r="K16" s="520">
        <v>0</v>
      </c>
      <c r="L16" s="520"/>
      <c r="M16" s="520"/>
      <c r="N16" s="520">
        <v>413295</v>
      </c>
      <c r="O16" s="531">
        <v>208538</v>
      </c>
      <c r="P16" s="531"/>
      <c r="Q16" s="521"/>
      <c r="R16" s="520"/>
      <c r="S16" s="520"/>
      <c r="T16" s="520"/>
      <c r="U16" s="520"/>
      <c r="V16" s="522"/>
      <c r="W16" s="520">
        <f t="shared" si="1"/>
        <v>621833</v>
      </c>
      <c r="X16" s="520">
        <f t="shared" si="2"/>
        <v>0</v>
      </c>
      <c r="Y16" s="523">
        <f t="shared" si="4"/>
        <v>621833</v>
      </c>
      <c r="Z16" s="527"/>
      <c r="AA16" s="527" t="s">
        <v>185</v>
      </c>
      <c r="AB16" s="543"/>
    </row>
    <row r="17" spans="1:37" s="537" customFormat="1" ht="50.25" customHeight="1">
      <c r="A17" s="545">
        <v>13</v>
      </c>
      <c r="B17" s="525" t="s">
        <v>186</v>
      </c>
      <c r="C17" s="534"/>
      <c r="D17" s="534"/>
      <c r="E17" s="526">
        <v>907796</v>
      </c>
      <c r="F17" s="516">
        <f t="shared" si="3"/>
        <v>0</v>
      </c>
      <c r="G17" s="527">
        <f>'[3]Old Working'!L55</f>
        <v>907796</v>
      </c>
      <c r="H17" s="518">
        <v>0</v>
      </c>
      <c r="I17" s="528">
        <f t="shared" si="0"/>
        <v>907796</v>
      </c>
      <c r="J17" s="529">
        <v>0</v>
      </c>
      <c r="K17" s="520">
        <v>427607</v>
      </c>
      <c r="L17" s="531"/>
      <c r="M17" s="520">
        <v>333718</v>
      </c>
      <c r="N17" s="520"/>
      <c r="O17" s="531"/>
      <c r="P17" s="531"/>
      <c r="Q17" s="521"/>
      <c r="R17" s="531"/>
      <c r="S17" s="531"/>
      <c r="T17" s="531"/>
      <c r="U17" s="531"/>
      <c r="V17" s="535"/>
      <c r="W17" s="520">
        <f t="shared" si="1"/>
        <v>761325</v>
      </c>
      <c r="X17" s="520">
        <f t="shared" si="2"/>
        <v>0</v>
      </c>
      <c r="Y17" s="523">
        <f t="shared" si="4"/>
        <v>761325</v>
      </c>
      <c r="Z17" s="546"/>
      <c r="AA17" s="546" t="s">
        <v>187</v>
      </c>
      <c r="AB17" s="547"/>
    </row>
    <row r="18" spans="1:37" ht="50.25" customHeight="1">
      <c r="A18" s="513">
        <v>14</v>
      </c>
      <c r="B18" s="548" t="s">
        <v>188</v>
      </c>
      <c r="C18" s="548"/>
      <c r="D18" s="548"/>
      <c r="E18" s="526">
        <v>780500</v>
      </c>
      <c r="F18" s="549">
        <f t="shared" si="3"/>
        <v>205595</v>
      </c>
      <c r="G18" s="550">
        <f>'[3]Old Working'!L65+444405</f>
        <v>574905</v>
      </c>
      <c r="H18" s="551">
        <v>0</v>
      </c>
      <c r="I18" s="552">
        <f t="shared" si="0"/>
        <v>574905</v>
      </c>
      <c r="J18" s="553">
        <f>130500+444405-444405</f>
        <v>130500</v>
      </c>
      <c r="K18" s="554"/>
      <c r="L18" s="554"/>
      <c r="M18" s="554"/>
      <c r="N18" s="554"/>
      <c r="O18" s="554"/>
      <c r="P18" s="554"/>
      <c r="Q18" s="521"/>
      <c r="R18" s="554"/>
      <c r="S18" s="554"/>
      <c r="T18" s="554"/>
      <c r="U18" s="554"/>
      <c r="V18" s="554"/>
      <c r="W18" s="554">
        <f t="shared" si="1"/>
        <v>130500</v>
      </c>
      <c r="X18" s="554">
        <f t="shared" si="2"/>
        <v>205595</v>
      </c>
      <c r="Y18" s="523">
        <f t="shared" si="4"/>
        <v>336095</v>
      </c>
      <c r="Z18" s="555"/>
      <c r="AA18" s="555" t="s">
        <v>189</v>
      </c>
      <c r="AB18" s="556" t="s">
        <v>190</v>
      </c>
    </row>
    <row r="19" spans="1:37" ht="50.25" customHeight="1">
      <c r="A19" s="524">
        <v>13</v>
      </c>
      <c r="B19" s="525" t="s">
        <v>191</v>
      </c>
      <c r="C19" s="525"/>
      <c r="D19" s="525"/>
      <c r="E19" s="526">
        <v>6100585</v>
      </c>
      <c r="F19" s="516">
        <f>E19-G19</f>
        <v>3683520</v>
      </c>
      <c r="G19" s="527">
        <f>'[3]Old Working'!L20</f>
        <v>2417065</v>
      </c>
      <c r="H19" s="518">
        <v>0</v>
      </c>
      <c r="I19" s="528">
        <f t="shared" si="0"/>
        <v>2417065</v>
      </c>
      <c r="J19" s="529"/>
      <c r="K19" s="520"/>
      <c r="L19" s="557">
        <v>1443970</v>
      </c>
      <c r="M19" s="517">
        <v>576963</v>
      </c>
      <c r="N19" s="517"/>
      <c r="O19" s="557"/>
      <c r="P19" s="557"/>
      <c r="Q19" s="558">
        <v>170107</v>
      </c>
      <c r="R19" s="557"/>
      <c r="S19" s="557"/>
      <c r="T19" s="557"/>
      <c r="U19" s="559"/>
      <c r="V19" s="560"/>
      <c r="W19" s="520">
        <f t="shared" si="1"/>
        <v>2191040</v>
      </c>
      <c r="X19" s="520">
        <f t="shared" si="2"/>
        <v>3683520</v>
      </c>
      <c r="Y19" s="523">
        <f t="shared" si="4"/>
        <v>5874560</v>
      </c>
      <c r="Z19" s="527"/>
      <c r="AA19" s="527" t="s">
        <v>192</v>
      </c>
      <c r="AB19" s="561" t="s">
        <v>193</v>
      </c>
    </row>
    <row r="20" spans="1:37" ht="50.25" customHeight="1">
      <c r="A20" s="513">
        <v>14</v>
      </c>
      <c r="B20" s="525" t="s">
        <v>194</v>
      </c>
      <c r="C20" s="534"/>
      <c r="D20" s="534"/>
      <c r="E20" s="526">
        <v>6350710</v>
      </c>
      <c r="F20" s="516">
        <f t="shared" si="3"/>
        <v>3293305</v>
      </c>
      <c r="G20" s="527">
        <f>'[3]Old Working'!L22</f>
        <v>3057405</v>
      </c>
      <c r="H20" s="518">
        <v>0</v>
      </c>
      <c r="I20" s="528">
        <f t="shared" si="0"/>
        <v>3057405</v>
      </c>
      <c r="J20" s="529">
        <v>0</v>
      </c>
      <c r="K20" s="520">
        <v>510195</v>
      </c>
      <c r="L20" s="531">
        <v>203362</v>
      </c>
      <c r="M20" s="520">
        <v>266912</v>
      </c>
      <c r="N20" s="520"/>
      <c r="O20" s="531">
        <v>79040</v>
      </c>
      <c r="P20" s="531"/>
      <c r="Q20" s="521">
        <v>50620</v>
      </c>
      <c r="R20" s="531"/>
      <c r="S20" s="531"/>
      <c r="T20" s="531"/>
      <c r="U20" s="531"/>
      <c r="V20" s="535"/>
      <c r="W20" s="520">
        <f t="shared" si="1"/>
        <v>1110129</v>
      </c>
      <c r="X20" s="520">
        <f t="shared" si="2"/>
        <v>3293305</v>
      </c>
      <c r="Y20" s="523">
        <f t="shared" si="4"/>
        <v>4403434</v>
      </c>
      <c r="Z20" s="536" t="s">
        <v>179</v>
      </c>
      <c r="AA20" s="536" t="s">
        <v>195</v>
      </c>
      <c r="AB20" s="561" t="s">
        <v>193</v>
      </c>
    </row>
    <row r="21" spans="1:37" ht="50.25" customHeight="1">
      <c r="A21" s="524">
        <v>15</v>
      </c>
      <c r="B21" s="525" t="s">
        <v>196</v>
      </c>
      <c r="C21" s="525"/>
      <c r="D21" s="525"/>
      <c r="E21" s="526">
        <v>3114148</v>
      </c>
      <c r="F21" s="516">
        <f t="shared" si="3"/>
        <v>1296490</v>
      </c>
      <c r="G21" s="527">
        <v>1817658</v>
      </c>
      <c r="H21" s="518">
        <v>0</v>
      </c>
      <c r="I21" s="528">
        <f t="shared" si="0"/>
        <v>1817658</v>
      </c>
      <c r="J21" s="562">
        <v>695175</v>
      </c>
      <c r="K21" s="529"/>
      <c r="L21" s="529"/>
      <c r="M21" s="520"/>
      <c r="N21" s="520"/>
      <c r="O21" s="520"/>
      <c r="P21" s="520"/>
      <c r="Q21" s="521"/>
      <c r="R21" s="520"/>
      <c r="S21" s="520"/>
      <c r="T21" s="520"/>
      <c r="U21" s="520"/>
      <c r="V21" s="522"/>
      <c r="W21" s="520">
        <f t="shared" si="1"/>
        <v>695175</v>
      </c>
      <c r="X21" s="520">
        <f t="shared" si="2"/>
        <v>1296490</v>
      </c>
      <c r="Y21" s="523">
        <f t="shared" si="4"/>
        <v>1991665</v>
      </c>
      <c r="Z21" s="527" t="s">
        <v>179</v>
      </c>
      <c r="AA21" s="527" t="s">
        <v>168</v>
      </c>
      <c r="AB21" s="543" t="s">
        <v>197</v>
      </c>
    </row>
    <row r="22" spans="1:37" ht="50.25" customHeight="1">
      <c r="A22" s="563">
        <v>18</v>
      </c>
      <c r="B22" s="525" t="s">
        <v>198</v>
      </c>
      <c r="C22" s="534"/>
      <c r="D22" s="534"/>
      <c r="E22" s="526">
        <v>2750000</v>
      </c>
      <c r="F22" s="516">
        <f t="shared" si="3"/>
        <v>2062500</v>
      </c>
      <c r="G22" s="527">
        <v>687500</v>
      </c>
      <c r="H22" s="518">
        <v>0</v>
      </c>
      <c r="I22" s="528">
        <f t="shared" si="0"/>
        <v>687500</v>
      </c>
      <c r="J22" s="529"/>
      <c r="K22" s="520">
        <v>687500</v>
      </c>
      <c r="L22" s="531"/>
      <c r="M22" s="520"/>
      <c r="N22" s="520"/>
      <c r="O22" s="531"/>
      <c r="P22" s="531"/>
      <c r="Q22" s="521"/>
      <c r="R22" s="531"/>
      <c r="S22" s="531"/>
      <c r="T22" s="531"/>
      <c r="U22" s="531"/>
      <c r="V22" s="535"/>
      <c r="W22" s="520">
        <f t="shared" si="1"/>
        <v>687500</v>
      </c>
      <c r="X22" s="520">
        <f t="shared" si="2"/>
        <v>2062500</v>
      </c>
      <c r="Y22" s="523">
        <f t="shared" si="4"/>
        <v>2750000</v>
      </c>
      <c r="Z22" s="564"/>
      <c r="AA22" s="564" t="s">
        <v>199</v>
      </c>
      <c r="AB22" s="565" t="s">
        <v>200</v>
      </c>
    </row>
    <row r="23" spans="1:37" ht="50.25" customHeight="1">
      <c r="A23" s="524">
        <v>16</v>
      </c>
      <c r="B23" s="543" t="s">
        <v>201</v>
      </c>
      <c r="C23" s="534"/>
      <c r="D23" s="534"/>
      <c r="E23" s="526">
        <f>25700062+5496600</f>
        <v>31196662</v>
      </c>
      <c r="F23" s="516">
        <f t="shared" si="3"/>
        <v>7470651</v>
      </c>
      <c r="G23" s="527">
        <f>'[3]Old Working'!L51</f>
        <v>23726011</v>
      </c>
      <c r="H23" s="518">
        <v>0</v>
      </c>
      <c r="I23" s="528">
        <f t="shared" si="0"/>
        <v>23726011</v>
      </c>
      <c r="J23" s="529">
        <v>0</v>
      </c>
      <c r="K23" s="520">
        <v>1254829</v>
      </c>
      <c r="L23" s="566">
        <v>2017195</v>
      </c>
      <c r="M23" s="567"/>
      <c r="N23" s="567">
        <v>0</v>
      </c>
      <c r="O23" s="518">
        <f>1709426</f>
        <v>1709426</v>
      </c>
      <c r="P23" s="518">
        <v>742587</v>
      </c>
      <c r="Q23" s="530"/>
      <c r="R23" s="518"/>
      <c r="S23" s="518"/>
      <c r="T23" s="518">
        <v>0</v>
      </c>
      <c r="U23" s="568"/>
      <c r="V23" s="569"/>
      <c r="W23" s="520">
        <f t="shared" si="1"/>
        <v>5724037</v>
      </c>
      <c r="X23" s="520">
        <f t="shared" si="2"/>
        <v>7470651</v>
      </c>
      <c r="Y23" s="523">
        <f t="shared" si="4"/>
        <v>13194688</v>
      </c>
      <c r="Z23" s="536"/>
      <c r="AA23" s="536" t="s">
        <v>202</v>
      </c>
      <c r="AB23" s="534" t="s">
        <v>203</v>
      </c>
    </row>
    <row r="24" spans="1:37" ht="50.25" customHeight="1">
      <c r="A24" s="513">
        <v>17</v>
      </c>
      <c r="B24" s="525" t="s">
        <v>204</v>
      </c>
      <c r="C24" s="525"/>
      <c r="D24" s="525"/>
      <c r="E24" s="526">
        <f>73000000</f>
        <v>73000000</v>
      </c>
      <c r="F24" s="567">
        <f>E24-G24</f>
        <v>44279628</v>
      </c>
      <c r="G24" s="527">
        <f>76000000-47279628</f>
        <v>28720372</v>
      </c>
      <c r="H24" s="518">
        <v>0</v>
      </c>
      <c r="I24" s="528">
        <f t="shared" si="0"/>
        <v>28720372</v>
      </c>
      <c r="J24" s="529"/>
      <c r="K24" s="520"/>
      <c r="L24" s="520"/>
      <c r="M24" s="520"/>
      <c r="N24" s="570">
        <v>411862.5</v>
      </c>
      <c r="O24" s="568">
        <f>1867500+53250+64050</f>
        <v>1984800</v>
      </c>
      <c r="P24" s="568"/>
      <c r="Q24" s="531">
        <f>285956+53250+56625</f>
        <v>395831</v>
      </c>
      <c r="R24" s="520"/>
      <c r="S24" s="520"/>
      <c r="T24" s="520"/>
      <c r="U24" s="520"/>
      <c r="V24" s="520"/>
      <c r="W24" s="520">
        <f t="shared" si="1"/>
        <v>2792493.5</v>
      </c>
      <c r="X24" s="520">
        <f t="shared" si="2"/>
        <v>44279628</v>
      </c>
      <c r="Y24" s="523">
        <f t="shared" si="4"/>
        <v>47072121.5</v>
      </c>
      <c r="Z24" s="527"/>
      <c r="AA24" s="527" t="s">
        <v>202</v>
      </c>
      <c r="AB24" s="525" t="s">
        <v>205</v>
      </c>
    </row>
    <row r="25" spans="1:37" ht="50.25" customHeight="1">
      <c r="A25" s="524">
        <v>20</v>
      </c>
      <c r="B25" s="525" t="s">
        <v>206</v>
      </c>
      <c r="C25" s="525"/>
      <c r="D25" s="525"/>
      <c r="E25" s="526">
        <f>20680085</f>
        <v>20680085</v>
      </c>
      <c r="F25" s="516">
        <f>E25-G25</f>
        <v>16246740</v>
      </c>
      <c r="G25" s="527">
        <f>4433345</f>
        <v>4433345</v>
      </c>
      <c r="H25" s="518">
        <v>0</v>
      </c>
      <c r="I25" s="528">
        <f t="shared" si="0"/>
        <v>4433345</v>
      </c>
      <c r="J25" s="529"/>
      <c r="K25" s="520"/>
      <c r="L25" s="520"/>
      <c r="M25" s="520">
        <v>4433345</v>
      </c>
      <c r="N25" s="520"/>
      <c r="O25" s="520"/>
      <c r="P25" s="520"/>
      <c r="Q25" s="521"/>
      <c r="R25" s="520"/>
      <c r="S25" s="520"/>
      <c r="T25" s="520"/>
      <c r="U25" s="520"/>
      <c r="V25" s="522"/>
      <c r="W25" s="520">
        <f>SUM(J25:Q25)-SUM(R25:V25)</f>
        <v>4433345</v>
      </c>
      <c r="X25" s="520">
        <f t="shared" si="2"/>
        <v>16246740</v>
      </c>
      <c r="Y25" s="523">
        <f t="shared" si="4"/>
        <v>20680085</v>
      </c>
      <c r="Z25" s="571"/>
      <c r="AA25" s="571" t="s">
        <v>202</v>
      </c>
      <c r="AB25" s="572" t="s">
        <v>207</v>
      </c>
    </row>
    <row r="26" spans="1:37" ht="50.25" customHeight="1">
      <c r="A26" s="513">
        <v>21</v>
      </c>
      <c r="B26" s="525" t="s">
        <v>208</v>
      </c>
      <c r="C26" s="525"/>
      <c r="D26" s="525"/>
      <c r="E26" s="526">
        <v>3018195</v>
      </c>
      <c r="F26" s="516">
        <f t="shared" si="3"/>
        <v>2317975</v>
      </c>
      <c r="G26" s="527">
        <v>700220</v>
      </c>
      <c r="H26" s="518">
        <v>0</v>
      </c>
      <c r="I26" s="528">
        <f t="shared" si="0"/>
        <v>700220</v>
      </c>
      <c r="J26" s="562"/>
      <c r="K26" s="531"/>
      <c r="L26" s="531"/>
      <c r="M26" s="520"/>
      <c r="N26" s="520"/>
      <c r="O26" s="531"/>
      <c r="P26" s="531"/>
      <c r="Q26" s="521"/>
      <c r="R26" s="531"/>
      <c r="S26" s="531"/>
      <c r="T26" s="531"/>
      <c r="U26" s="531"/>
      <c r="V26" s="535"/>
      <c r="W26" s="520">
        <f t="shared" si="1"/>
        <v>0</v>
      </c>
      <c r="X26" s="520">
        <f t="shared" si="2"/>
        <v>2317975</v>
      </c>
      <c r="Y26" s="523">
        <f t="shared" si="4"/>
        <v>2317975</v>
      </c>
      <c r="Z26" s="536"/>
      <c r="AA26" s="536" t="s">
        <v>168</v>
      </c>
      <c r="AB26" s="534"/>
    </row>
    <row r="27" spans="1:37" ht="50.25" customHeight="1">
      <c r="A27" s="524">
        <v>22</v>
      </c>
      <c r="B27" s="525" t="s">
        <v>209</v>
      </c>
      <c r="C27" s="525"/>
      <c r="D27" s="525"/>
      <c r="E27" s="526">
        <v>5232770</v>
      </c>
      <c r="F27" s="516">
        <f t="shared" si="3"/>
        <v>2902732</v>
      </c>
      <c r="G27" s="527">
        <v>2330038</v>
      </c>
      <c r="H27" s="518">
        <v>0</v>
      </c>
      <c r="I27" s="528">
        <f t="shared" si="0"/>
        <v>2330038</v>
      </c>
      <c r="J27" s="562"/>
      <c r="K27" s="531"/>
      <c r="L27" s="531"/>
      <c r="M27" s="520"/>
      <c r="N27" s="520"/>
      <c r="O27" s="531"/>
      <c r="P27" s="531"/>
      <c r="Q27" s="521"/>
      <c r="R27" s="531"/>
      <c r="S27" s="531"/>
      <c r="T27" s="531"/>
      <c r="U27" s="531"/>
      <c r="V27" s="535"/>
      <c r="W27" s="520">
        <f t="shared" si="1"/>
        <v>0</v>
      </c>
      <c r="X27" s="520">
        <f t="shared" si="2"/>
        <v>2902732</v>
      </c>
      <c r="Y27" s="523">
        <f t="shared" si="4"/>
        <v>2902732</v>
      </c>
      <c r="Z27" s="536"/>
      <c r="AA27" s="536" t="s">
        <v>168</v>
      </c>
      <c r="AB27" s="534"/>
      <c r="AG27" s="573"/>
      <c r="AH27" s="573"/>
      <c r="AJ27" s="573"/>
      <c r="AK27" s="573"/>
    </row>
    <row r="28" spans="1:37" ht="50.25" customHeight="1">
      <c r="A28" s="513">
        <v>18</v>
      </c>
      <c r="B28" s="543" t="s">
        <v>210</v>
      </c>
      <c r="C28" s="534"/>
      <c r="D28" s="534"/>
      <c r="E28" s="526">
        <v>10788650</v>
      </c>
      <c r="F28" s="516">
        <f t="shared" ref="F28:F33" si="5">E28-G28-H28</f>
        <v>0</v>
      </c>
      <c r="G28" s="574">
        <v>0</v>
      </c>
      <c r="H28" s="566">
        <v>10788650</v>
      </c>
      <c r="I28" s="528">
        <f t="shared" si="0"/>
        <v>10788650</v>
      </c>
      <c r="J28" s="529">
        <v>0</v>
      </c>
      <c r="K28" s="529">
        <v>3385398</v>
      </c>
      <c r="L28" s="518">
        <v>583224</v>
      </c>
      <c r="M28" s="567">
        <v>11281</v>
      </c>
      <c r="N28" s="567">
        <f>911140-360278</f>
        <v>550862</v>
      </c>
      <c r="O28" s="518">
        <v>185914</v>
      </c>
      <c r="P28" s="518"/>
      <c r="Q28" s="530">
        <f>309498+185914+228365</f>
        <v>723777</v>
      </c>
      <c r="R28" s="518">
        <v>583224</v>
      </c>
      <c r="S28" s="518"/>
      <c r="T28" s="518"/>
      <c r="U28" s="568"/>
      <c r="V28" s="575">
        <v>185914</v>
      </c>
      <c r="W28" s="520">
        <f t="shared" si="1"/>
        <v>4671318</v>
      </c>
      <c r="X28" s="520">
        <f t="shared" si="2"/>
        <v>0</v>
      </c>
      <c r="Y28" s="523">
        <f t="shared" si="4"/>
        <v>4671318</v>
      </c>
      <c r="Z28" s="536" t="s">
        <v>179</v>
      </c>
      <c r="AA28" s="576" t="s">
        <v>211</v>
      </c>
      <c r="AB28" s="561" t="s">
        <v>212</v>
      </c>
      <c r="AH28" s="577"/>
      <c r="AK28" s="577"/>
    </row>
    <row r="29" spans="1:37" ht="50.25" customHeight="1">
      <c r="A29" s="524">
        <v>19</v>
      </c>
      <c r="B29" s="543" t="s">
        <v>213</v>
      </c>
      <c r="C29" s="534"/>
      <c r="D29" s="534"/>
      <c r="E29" s="526">
        <v>5232900</v>
      </c>
      <c r="F29" s="516">
        <f t="shared" si="5"/>
        <v>0</v>
      </c>
      <c r="G29" s="574">
        <v>0</v>
      </c>
      <c r="H29" s="566">
        <f>3700000+1532900</f>
        <v>5232900</v>
      </c>
      <c r="I29" s="528">
        <f t="shared" si="0"/>
        <v>5232900</v>
      </c>
      <c r="J29" s="529" t="s">
        <v>126</v>
      </c>
      <c r="K29" s="520">
        <v>1376859</v>
      </c>
      <c r="L29" s="518">
        <v>300933</v>
      </c>
      <c r="M29" s="567"/>
      <c r="N29" s="567">
        <v>219678</v>
      </c>
      <c r="O29" s="518">
        <v>1934090</v>
      </c>
      <c r="P29" s="518"/>
      <c r="Q29" s="530">
        <f>182498+165482</f>
        <v>347980</v>
      </c>
      <c r="R29" s="518"/>
      <c r="S29" s="518"/>
      <c r="T29" s="518"/>
      <c r="U29" s="568"/>
      <c r="V29" s="569"/>
      <c r="W29" s="520">
        <f t="shared" si="1"/>
        <v>4179540</v>
      </c>
      <c r="X29" s="520">
        <f t="shared" si="2"/>
        <v>0</v>
      </c>
      <c r="Y29" s="523">
        <f t="shared" si="4"/>
        <v>4179540</v>
      </c>
      <c r="Z29" s="536"/>
      <c r="AA29" s="536" t="s">
        <v>185</v>
      </c>
      <c r="AB29" s="561" t="s">
        <v>214</v>
      </c>
      <c r="AH29" s="577"/>
      <c r="AK29" s="577"/>
    </row>
    <row r="30" spans="1:37" ht="50.25" customHeight="1">
      <c r="A30" s="513">
        <v>20</v>
      </c>
      <c r="B30" s="525" t="s">
        <v>215</v>
      </c>
      <c r="C30" s="534"/>
      <c r="D30" s="534"/>
      <c r="E30" s="526">
        <v>5247334</v>
      </c>
      <c r="F30" s="516">
        <f t="shared" si="5"/>
        <v>0</v>
      </c>
      <c r="G30" s="574">
        <v>0</v>
      </c>
      <c r="H30" s="566">
        <v>5247334</v>
      </c>
      <c r="I30" s="528">
        <f t="shared" si="0"/>
        <v>5247334</v>
      </c>
      <c r="J30" s="529" t="s">
        <v>126</v>
      </c>
      <c r="K30" s="520">
        <v>2191333</v>
      </c>
      <c r="L30" s="518">
        <v>490918</v>
      </c>
      <c r="M30" s="567"/>
      <c r="N30" s="567">
        <v>625792</v>
      </c>
      <c r="O30" s="518">
        <v>567165</v>
      </c>
      <c r="P30" s="518"/>
      <c r="Q30" s="530">
        <v>208134</v>
      </c>
      <c r="R30" s="518">
        <v>490918</v>
      </c>
      <c r="S30" s="518"/>
      <c r="T30" s="518"/>
      <c r="U30" s="568"/>
      <c r="V30" s="569"/>
      <c r="W30" s="520">
        <f t="shared" si="1"/>
        <v>3592424</v>
      </c>
      <c r="X30" s="520">
        <f t="shared" si="2"/>
        <v>0</v>
      </c>
      <c r="Y30" s="523">
        <f t="shared" si="4"/>
        <v>3592424</v>
      </c>
      <c r="Z30" s="536"/>
      <c r="AA30" s="576" t="s">
        <v>211</v>
      </c>
      <c r="AB30" s="561" t="s">
        <v>212</v>
      </c>
      <c r="AH30" s="577"/>
      <c r="AK30" s="577"/>
    </row>
    <row r="31" spans="1:37" ht="50.25" customHeight="1">
      <c r="A31" s="524">
        <v>21</v>
      </c>
      <c r="B31" s="525" t="s">
        <v>216</v>
      </c>
      <c r="C31" s="525"/>
      <c r="D31" s="525"/>
      <c r="E31" s="526">
        <v>2728200</v>
      </c>
      <c r="F31" s="516">
        <f t="shared" si="5"/>
        <v>0</v>
      </c>
      <c r="G31" s="578">
        <v>0</v>
      </c>
      <c r="H31" s="566">
        <v>2728200</v>
      </c>
      <c r="I31" s="528">
        <f t="shared" si="0"/>
        <v>2728200</v>
      </c>
      <c r="J31" s="529"/>
      <c r="K31" s="520"/>
      <c r="L31" s="520"/>
      <c r="M31" s="520"/>
      <c r="N31" s="520"/>
      <c r="O31" s="574">
        <v>236577</v>
      </c>
      <c r="P31" s="520"/>
      <c r="Q31" s="521">
        <v>840924</v>
      </c>
      <c r="R31" s="520"/>
      <c r="S31" s="520"/>
      <c r="T31" s="520"/>
      <c r="U31" s="520"/>
      <c r="V31" s="522"/>
      <c r="W31" s="520">
        <f t="shared" si="1"/>
        <v>1077501</v>
      </c>
      <c r="X31" s="520">
        <f t="shared" si="2"/>
        <v>0</v>
      </c>
      <c r="Y31" s="523">
        <f t="shared" si="4"/>
        <v>1077501</v>
      </c>
      <c r="Z31" s="527"/>
      <c r="AA31" s="527" t="s">
        <v>65</v>
      </c>
      <c r="AB31" s="525"/>
      <c r="AH31" s="577"/>
    </row>
    <row r="32" spans="1:37" s="592" customFormat="1" ht="50.25" hidden="1" customHeight="1">
      <c r="A32" s="579">
        <v>27</v>
      </c>
      <c r="B32" s="580" t="s">
        <v>217</v>
      </c>
      <c r="C32" s="581"/>
      <c r="D32" s="581"/>
      <c r="E32" s="582">
        <v>230765</v>
      </c>
      <c r="F32" s="583">
        <f t="shared" si="5"/>
        <v>0</v>
      </c>
      <c r="G32" s="584">
        <v>0</v>
      </c>
      <c r="H32" s="585">
        <f>120765+110000</f>
        <v>230765</v>
      </c>
      <c r="I32" s="586">
        <f t="shared" si="0"/>
        <v>230765</v>
      </c>
      <c r="J32" s="587">
        <v>55100</v>
      </c>
      <c r="K32" s="588">
        <v>-55000</v>
      </c>
      <c r="L32" s="588"/>
      <c r="M32" s="588"/>
      <c r="N32" s="588"/>
      <c r="O32" s="588"/>
      <c r="P32" s="588"/>
      <c r="Q32" s="589"/>
      <c r="R32" s="588"/>
      <c r="S32" s="588"/>
      <c r="T32" s="588"/>
      <c r="U32" s="588"/>
      <c r="V32" s="588"/>
      <c r="W32" s="590">
        <f t="shared" si="1"/>
        <v>100</v>
      </c>
      <c r="X32" s="590">
        <f t="shared" si="2"/>
        <v>0</v>
      </c>
      <c r="Y32" s="523">
        <f t="shared" si="4"/>
        <v>100</v>
      </c>
      <c r="Z32" s="591"/>
      <c r="AA32" s="591" t="s">
        <v>218</v>
      </c>
      <c r="AB32" s="580" t="s">
        <v>219</v>
      </c>
    </row>
    <row r="33" spans="1:34" s="605" customFormat="1" ht="189">
      <c r="A33" s="593">
        <v>22</v>
      </c>
      <c r="B33" s="594" t="s">
        <v>220</v>
      </c>
      <c r="C33" s="595">
        <v>0</v>
      </c>
      <c r="D33" s="595"/>
      <c r="E33" s="582">
        <v>10920</v>
      </c>
      <c r="F33" s="516">
        <f t="shared" si="5"/>
        <v>0</v>
      </c>
      <c r="G33" s="596">
        <v>0</v>
      </c>
      <c r="H33" s="597">
        <v>10920</v>
      </c>
      <c r="I33" s="598">
        <f t="shared" si="0"/>
        <v>10920</v>
      </c>
      <c r="J33" s="599">
        <v>10920</v>
      </c>
      <c r="K33" s="600">
        <v>0</v>
      </c>
      <c r="L33" s="600">
        <v>0</v>
      </c>
      <c r="M33" s="600"/>
      <c r="N33" s="600"/>
      <c r="O33" s="600"/>
      <c r="P33" s="600"/>
      <c r="Q33" s="601"/>
      <c r="R33" s="600"/>
      <c r="S33" s="600"/>
      <c r="T33" s="600"/>
      <c r="U33" s="600"/>
      <c r="V33" s="602"/>
      <c r="W33" s="520">
        <f t="shared" si="1"/>
        <v>10920</v>
      </c>
      <c r="X33" s="520">
        <f t="shared" si="2"/>
        <v>0</v>
      </c>
      <c r="Y33" s="523">
        <f t="shared" si="4"/>
        <v>10920</v>
      </c>
      <c r="Z33" s="603"/>
      <c r="AA33" s="603"/>
      <c r="AB33" s="604" t="s">
        <v>207</v>
      </c>
      <c r="AH33" s="606"/>
    </row>
    <row r="34" spans="1:34">
      <c r="A34" s="513">
        <v>28</v>
      </c>
      <c r="B34" s="525" t="s">
        <v>221</v>
      </c>
      <c r="C34" s="525"/>
      <c r="D34" s="525"/>
      <c r="E34" s="526">
        <v>17990</v>
      </c>
      <c r="F34" s="516">
        <f t="shared" si="3"/>
        <v>0</v>
      </c>
      <c r="G34" s="578">
        <v>17990</v>
      </c>
      <c r="H34" s="566">
        <v>0</v>
      </c>
      <c r="I34" s="528">
        <f t="shared" si="0"/>
        <v>17990</v>
      </c>
      <c r="J34" s="562">
        <v>17990</v>
      </c>
      <c r="K34" s="520"/>
      <c r="L34" s="520"/>
      <c r="M34" s="520"/>
      <c r="N34" s="520"/>
      <c r="O34" s="520"/>
      <c r="P34" s="520"/>
      <c r="Q34" s="521"/>
      <c r="R34" s="520"/>
      <c r="S34" s="520"/>
      <c r="T34" s="520"/>
      <c r="U34" s="520"/>
      <c r="V34" s="522"/>
      <c r="W34" s="520">
        <f t="shared" si="1"/>
        <v>17990</v>
      </c>
      <c r="X34" s="520">
        <f t="shared" si="2"/>
        <v>0</v>
      </c>
      <c r="Y34" s="523">
        <f t="shared" si="4"/>
        <v>17990</v>
      </c>
      <c r="Z34" s="555"/>
      <c r="AA34" s="555" t="s">
        <v>218</v>
      </c>
      <c r="AB34" s="607" t="s">
        <v>207</v>
      </c>
      <c r="AH34" s="533"/>
    </row>
    <row r="35" spans="1:34">
      <c r="A35" s="513">
        <v>29</v>
      </c>
      <c r="B35" s="525" t="s">
        <v>222</v>
      </c>
      <c r="C35" s="525"/>
      <c r="D35" s="525"/>
      <c r="E35" s="526">
        <v>17990</v>
      </c>
      <c r="F35" s="516">
        <f t="shared" si="3"/>
        <v>-9010</v>
      </c>
      <c r="G35" s="578">
        <v>27000</v>
      </c>
      <c r="H35" s="566">
        <v>0</v>
      </c>
      <c r="I35" s="608">
        <f t="shared" si="0"/>
        <v>27000</v>
      </c>
      <c r="J35" s="562">
        <v>27000</v>
      </c>
      <c r="K35" s="520">
        <v>0</v>
      </c>
      <c r="L35" s="520"/>
      <c r="M35" s="520"/>
      <c r="N35" s="520"/>
      <c r="O35" s="520"/>
      <c r="P35" s="520"/>
      <c r="Q35" s="521"/>
      <c r="R35" s="520"/>
      <c r="S35" s="520"/>
      <c r="T35" s="520"/>
      <c r="U35" s="520"/>
      <c r="V35" s="522"/>
      <c r="W35" s="520">
        <f t="shared" si="1"/>
        <v>27000</v>
      </c>
      <c r="X35" s="520">
        <f t="shared" si="2"/>
        <v>-9010</v>
      </c>
      <c r="Y35" s="523">
        <f t="shared" si="4"/>
        <v>17990</v>
      </c>
      <c r="Z35" s="555"/>
      <c r="AA35" s="555" t="s">
        <v>189</v>
      </c>
      <c r="AB35" s="607" t="s">
        <v>207</v>
      </c>
      <c r="AH35" s="533"/>
    </row>
    <row r="36" spans="1:34">
      <c r="A36" s="524">
        <v>30</v>
      </c>
      <c r="B36" s="525" t="s">
        <v>186</v>
      </c>
      <c r="C36" s="525"/>
      <c r="D36" s="525"/>
      <c r="E36" s="526">
        <v>184741</v>
      </c>
      <c r="F36" s="516">
        <f t="shared" ref="F36:F48" si="6">E36-G36-H36</f>
        <v>0</v>
      </c>
      <c r="G36" s="578">
        <v>0</v>
      </c>
      <c r="H36" s="566">
        <v>184741</v>
      </c>
      <c r="I36" s="527">
        <f t="shared" si="0"/>
        <v>184741</v>
      </c>
      <c r="J36" s="574">
        <f>132710+23850-100</f>
        <v>156460</v>
      </c>
      <c r="K36" s="578">
        <v>0</v>
      </c>
      <c r="L36" s="578"/>
      <c r="M36" s="609"/>
      <c r="N36" s="609"/>
      <c r="O36" s="609"/>
      <c r="P36" s="609"/>
      <c r="Q36" s="521"/>
      <c r="R36" s="609"/>
      <c r="S36" s="609"/>
      <c r="T36" s="609"/>
      <c r="U36" s="520"/>
      <c r="V36" s="522"/>
      <c r="W36" s="520">
        <f t="shared" si="1"/>
        <v>156460</v>
      </c>
      <c r="X36" s="520">
        <f t="shared" si="2"/>
        <v>0</v>
      </c>
      <c r="Y36" s="523">
        <f t="shared" si="4"/>
        <v>156460</v>
      </c>
      <c r="Z36" s="527"/>
      <c r="AA36" s="527" t="s">
        <v>187</v>
      </c>
      <c r="AB36" s="525"/>
      <c r="AH36" s="533"/>
    </row>
    <row r="37" spans="1:34">
      <c r="A37" s="610">
        <v>31</v>
      </c>
      <c r="B37" s="611" t="s">
        <v>223</v>
      </c>
      <c r="C37" s="611"/>
      <c r="D37" s="611"/>
      <c r="E37" s="612">
        <f>H37</f>
        <v>1873300</v>
      </c>
      <c r="F37" s="516">
        <f t="shared" si="6"/>
        <v>0</v>
      </c>
      <c r="G37" s="613">
        <v>0</v>
      </c>
      <c r="H37" s="614">
        <f>14410*130</f>
        <v>1873300</v>
      </c>
      <c r="I37" s="527">
        <f t="shared" si="0"/>
        <v>1873300</v>
      </c>
      <c r="J37" s="615">
        <v>360250</v>
      </c>
      <c r="K37" s="615">
        <v>936650</v>
      </c>
      <c r="L37" s="615">
        <v>576400</v>
      </c>
      <c r="M37" s="616"/>
      <c r="N37" s="616"/>
      <c r="O37" s="617"/>
      <c r="P37" s="617"/>
      <c r="Q37" s="618"/>
      <c r="R37" s="617"/>
      <c r="S37" s="617"/>
      <c r="T37" s="617"/>
      <c r="U37" s="619"/>
      <c r="V37" s="620"/>
      <c r="W37" s="520">
        <f t="shared" si="1"/>
        <v>1873300</v>
      </c>
      <c r="X37" s="520">
        <f t="shared" si="2"/>
        <v>0</v>
      </c>
      <c r="Y37" s="523">
        <f t="shared" si="4"/>
        <v>1873300</v>
      </c>
      <c r="Z37" s="621"/>
      <c r="AA37" s="621" t="s">
        <v>224</v>
      </c>
      <c r="AB37" s="622" t="s">
        <v>207</v>
      </c>
      <c r="AH37" s="533"/>
    </row>
    <row r="38" spans="1:34">
      <c r="A38" s="525">
        <v>32</v>
      </c>
      <c r="B38" s="525" t="s">
        <v>225</v>
      </c>
      <c r="C38" s="525" t="s">
        <v>226</v>
      </c>
      <c r="D38" s="525"/>
      <c r="E38" s="526">
        <f>H38</f>
        <v>263090</v>
      </c>
      <c r="F38" s="516">
        <f t="shared" si="6"/>
        <v>0</v>
      </c>
      <c r="G38" s="574">
        <v>0</v>
      </c>
      <c r="H38" s="566">
        <v>263090</v>
      </c>
      <c r="I38" s="527">
        <f t="shared" si="0"/>
        <v>263090</v>
      </c>
      <c r="J38" s="578">
        <v>0</v>
      </c>
      <c r="K38" s="578">
        <v>263090</v>
      </c>
      <c r="L38" s="578"/>
      <c r="M38" s="609"/>
      <c r="N38" s="609"/>
      <c r="O38" s="609"/>
      <c r="P38" s="609"/>
      <c r="Q38" s="521"/>
      <c r="R38" s="609"/>
      <c r="S38" s="609"/>
      <c r="T38" s="609"/>
      <c r="U38" s="520"/>
      <c r="V38" s="522"/>
      <c r="W38" s="520">
        <f t="shared" si="1"/>
        <v>263090</v>
      </c>
      <c r="X38" s="520">
        <f t="shared" si="2"/>
        <v>0</v>
      </c>
      <c r="Y38" s="523">
        <f t="shared" si="4"/>
        <v>263090</v>
      </c>
      <c r="Z38" s="555"/>
      <c r="AA38" s="555" t="s">
        <v>227</v>
      </c>
      <c r="AB38" s="607" t="s">
        <v>207</v>
      </c>
      <c r="AH38" s="533"/>
    </row>
    <row r="39" spans="1:34">
      <c r="A39" s="534">
        <v>33</v>
      </c>
      <c r="B39" s="548" t="s">
        <v>228</v>
      </c>
      <c r="C39" s="548" t="s">
        <v>229</v>
      </c>
      <c r="D39" s="548"/>
      <c r="E39" s="526">
        <f>H39</f>
        <v>125000</v>
      </c>
      <c r="F39" s="549">
        <f t="shared" si="6"/>
        <v>0</v>
      </c>
      <c r="G39" s="623">
        <v>0</v>
      </c>
      <c r="H39" s="624">
        <v>125000</v>
      </c>
      <c r="I39" s="625">
        <f t="shared" si="0"/>
        <v>125000</v>
      </c>
      <c r="J39" s="623"/>
      <c r="K39" s="623">
        <v>0</v>
      </c>
      <c r="L39" s="623">
        <v>125000</v>
      </c>
      <c r="M39" s="626"/>
      <c r="N39" s="626"/>
      <c r="O39" s="627"/>
      <c r="P39" s="627"/>
      <c r="Q39" s="521"/>
      <c r="R39" s="627"/>
      <c r="S39" s="627"/>
      <c r="T39" s="627"/>
      <c r="U39" s="521"/>
      <c r="V39" s="521"/>
      <c r="W39" s="554">
        <f t="shared" si="1"/>
        <v>125000</v>
      </c>
      <c r="X39" s="554">
        <f t="shared" si="2"/>
        <v>0</v>
      </c>
      <c r="Y39" s="523">
        <f t="shared" si="4"/>
        <v>125000</v>
      </c>
      <c r="Z39" s="625"/>
      <c r="AA39" s="625"/>
      <c r="AB39" s="628" t="s">
        <v>207</v>
      </c>
      <c r="AH39" s="533"/>
    </row>
    <row r="40" spans="1:34" ht="42">
      <c r="A40" s="611">
        <v>22</v>
      </c>
      <c r="B40" s="629" t="s">
        <v>230</v>
      </c>
      <c r="C40" s="629" t="s">
        <v>231</v>
      </c>
      <c r="D40" s="629"/>
      <c r="E40" s="612">
        <v>8005040</v>
      </c>
      <c r="F40" s="516">
        <f t="shared" si="6"/>
        <v>0</v>
      </c>
      <c r="G40" s="615">
        <v>0</v>
      </c>
      <c r="H40" s="614">
        <v>8005040</v>
      </c>
      <c r="I40" s="630">
        <f t="shared" si="0"/>
        <v>8005040</v>
      </c>
      <c r="J40" s="613"/>
      <c r="K40" s="613"/>
      <c r="L40" s="613"/>
      <c r="M40" s="578">
        <v>3079200</v>
      </c>
      <c r="N40" s="578"/>
      <c r="O40" s="574">
        <v>3869952</v>
      </c>
      <c r="P40" s="574"/>
      <c r="Q40" s="521"/>
      <c r="R40" s="578"/>
      <c r="S40" s="578"/>
      <c r="T40" s="578"/>
      <c r="U40" s="520"/>
      <c r="V40" s="522"/>
      <c r="W40" s="520">
        <f t="shared" si="1"/>
        <v>6949152</v>
      </c>
      <c r="X40" s="520">
        <f t="shared" si="2"/>
        <v>0</v>
      </c>
      <c r="Y40" s="523">
        <f t="shared" si="4"/>
        <v>6949152</v>
      </c>
      <c r="Z40" s="630"/>
      <c r="AA40" s="630"/>
      <c r="AB40" s="611"/>
      <c r="AH40" s="533"/>
    </row>
    <row r="41" spans="1:34" ht="409.5">
      <c r="A41" s="525">
        <v>35</v>
      </c>
      <c r="B41" s="525" t="s">
        <v>232</v>
      </c>
      <c r="C41" s="525"/>
      <c r="D41" s="525"/>
      <c r="E41" s="526">
        <v>1050457</v>
      </c>
      <c r="F41" s="516">
        <f t="shared" si="6"/>
        <v>0</v>
      </c>
      <c r="G41" s="578">
        <v>0</v>
      </c>
      <c r="H41" s="566">
        <f>494867+555590</f>
        <v>1050457</v>
      </c>
      <c r="I41" s="527">
        <f t="shared" si="0"/>
        <v>1050457</v>
      </c>
      <c r="J41" s="578"/>
      <c r="K41" s="578"/>
      <c r="L41" s="578"/>
      <c r="M41" s="578"/>
      <c r="N41" s="578">
        <f>425481+323402+329278</f>
        <v>1078161</v>
      </c>
      <c r="O41" s="574"/>
      <c r="P41" s="574"/>
      <c r="Q41" s="521"/>
      <c r="R41" s="578"/>
      <c r="S41" s="578">
        <v>329278</v>
      </c>
      <c r="T41" s="578"/>
      <c r="U41" s="520"/>
      <c r="V41" s="522"/>
      <c r="W41" s="520">
        <f t="shared" si="1"/>
        <v>748883</v>
      </c>
      <c r="X41" s="520">
        <f t="shared" si="2"/>
        <v>0</v>
      </c>
      <c r="Y41" s="523">
        <f t="shared" si="4"/>
        <v>748883</v>
      </c>
      <c r="Z41" s="527"/>
      <c r="AA41" s="527"/>
      <c r="AB41" s="543" t="s">
        <v>233</v>
      </c>
      <c r="AH41" s="533"/>
    </row>
    <row r="42" spans="1:34" ht="42">
      <c r="A42" s="525">
        <v>36</v>
      </c>
      <c r="B42" s="543" t="s">
        <v>234</v>
      </c>
      <c r="C42" s="525" t="s">
        <v>126</v>
      </c>
      <c r="D42" s="525"/>
      <c r="E42" s="526">
        <f>H42</f>
        <v>10000</v>
      </c>
      <c r="F42" s="516">
        <f t="shared" si="6"/>
        <v>0</v>
      </c>
      <c r="G42" s="578">
        <v>0</v>
      </c>
      <c r="H42" s="566">
        <v>10000</v>
      </c>
      <c r="I42" s="527">
        <f t="shared" si="0"/>
        <v>10000</v>
      </c>
      <c r="J42" s="578"/>
      <c r="K42" s="578"/>
      <c r="L42" s="574">
        <v>10000</v>
      </c>
      <c r="M42" s="578"/>
      <c r="N42" s="609"/>
      <c r="O42" s="631"/>
      <c r="P42" s="631"/>
      <c r="Q42" s="521"/>
      <c r="R42" s="631"/>
      <c r="S42" s="631"/>
      <c r="T42" s="631"/>
      <c r="U42" s="531"/>
      <c r="V42" s="535"/>
      <c r="W42" s="520">
        <f t="shared" si="1"/>
        <v>10000</v>
      </c>
      <c r="X42" s="520">
        <f t="shared" si="2"/>
        <v>0</v>
      </c>
      <c r="Y42" s="523">
        <f t="shared" si="4"/>
        <v>10000</v>
      </c>
      <c r="Z42" s="571"/>
      <c r="AA42" s="571"/>
      <c r="AB42" s="572" t="s">
        <v>207</v>
      </c>
      <c r="AH42" s="533"/>
    </row>
    <row r="43" spans="1:34">
      <c r="A43" s="525">
        <v>37</v>
      </c>
      <c r="B43" s="525" t="s">
        <v>235</v>
      </c>
      <c r="C43" s="525" t="s">
        <v>126</v>
      </c>
      <c r="D43" s="525"/>
      <c r="E43" s="526">
        <f>H43</f>
        <v>197750</v>
      </c>
      <c r="F43" s="516">
        <f t="shared" si="6"/>
        <v>0</v>
      </c>
      <c r="G43" s="578">
        <v>0</v>
      </c>
      <c r="H43" s="566">
        <f>5250+192500</f>
        <v>197750</v>
      </c>
      <c r="I43" s="527">
        <f t="shared" si="0"/>
        <v>197750</v>
      </c>
      <c r="J43" s="578"/>
      <c r="K43" s="578"/>
      <c r="L43" s="574">
        <v>5250</v>
      </c>
      <c r="M43" s="578">
        <v>192500</v>
      </c>
      <c r="N43" s="609"/>
      <c r="O43" s="631"/>
      <c r="P43" s="631"/>
      <c r="Q43" s="521"/>
      <c r="R43" s="631"/>
      <c r="S43" s="631"/>
      <c r="T43" s="631"/>
      <c r="U43" s="531"/>
      <c r="V43" s="535"/>
      <c r="W43" s="520">
        <f t="shared" si="1"/>
        <v>197750</v>
      </c>
      <c r="X43" s="520">
        <f t="shared" si="2"/>
        <v>0</v>
      </c>
      <c r="Y43" s="523">
        <f t="shared" si="4"/>
        <v>197750</v>
      </c>
      <c r="Z43" s="571"/>
      <c r="AA43" s="571"/>
      <c r="AB43" s="572" t="s">
        <v>207</v>
      </c>
      <c r="AH43" s="533"/>
    </row>
    <row r="44" spans="1:34">
      <c r="A44" s="525">
        <v>23</v>
      </c>
      <c r="B44" s="632" t="s">
        <v>236</v>
      </c>
      <c r="C44" s="525">
        <v>4900000812</v>
      </c>
      <c r="D44" s="525"/>
      <c r="E44" s="526">
        <v>7400000</v>
      </c>
      <c r="F44" s="516">
        <f t="shared" si="6"/>
        <v>0</v>
      </c>
      <c r="G44" s="578"/>
      <c r="H44" s="633">
        <v>7400000</v>
      </c>
      <c r="I44" s="527">
        <f t="shared" si="0"/>
        <v>7400000</v>
      </c>
      <c r="J44" s="578"/>
      <c r="K44" s="578"/>
      <c r="L44" s="574"/>
      <c r="M44" s="578"/>
      <c r="N44" s="578"/>
      <c r="O44" s="574"/>
      <c r="P44" s="574"/>
      <c r="Q44" s="521">
        <v>1816482</v>
      </c>
      <c r="R44" s="574"/>
      <c r="S44" s="631"/>
      <c r="T44" s="631"/>
      <c r="U44" s="531"/>
      <c r="V44" s="535"/>
      <c r="W44" s="520">
        <f t="shared" si="1"/>
        <v>1816482</v>
      </c>
      <c r="X44" s="520">
        <f t="shared" si="2"/>
        <v>0</v>
      </c>
      <c r="Y44" s="523">
        <f t="shared" si="4"/>
        <v>1816482</v>
      </c>
      <c r="Z44" s="527"/>
      <c r="AA44" s="527"/>
      <c r="AB44" s="525"/>
      <c r="AH44" s="533"/>
    </row>
    <row r="45" spans="1:34" ht="42">
      <c r="A45" s="525">
        <v>25</v>
      </c>
      <c r="B45" s="561" t="s">
        <v>237</v>
      </c>
      <c r="C45" s="632">
        <v>4561970433</v>
      </c>
      <c r="D45" s="632"/>
      <c r="E45" s="634">
        <f>H45</f>
        <v>10000</v>
      </c>
      <c r="F45" s="516">
        <f t="shared" si="6"/>
        <v>0</v>
      </c>
      <c r="G45" s="578"/>
      <c r="H45" s="566">
        <v>10000</v>
      </c>
      <c r="I45" s="527">
        <f t="shared" si="0"/>
        <v>10000</v>
      </c>
      <c r="J45" s="578"/>
      <c r="K45" s="578"/>
      <c r="L45" s="574"/>
      <c r="M45" s="578"/>
      <c r="N45" s="578"/>
      <c r="O45" s="574"/>
      <c r="P45" s="574"/>
      <c r="Q45" s="521"/>
      <c r="R45" s="574"/>
      <c r="S45" s="631"/>
      <c r="T45" s="631"/>
      <c r="U45" s="531"/>
      <c r="V45" s="535"/>
      <c r="W45" s="520">
        <f t="shared" si="1"/>
        <v>0</v>
      </c>
      <c r="X45" s="520">
        <f t="shared" si="2"/>
        <v>0</v>
      </c>
      <c r="Y45" s="523">
        <f t="shared" si="4"/>
        <v>0</v>
      </c>
      <c r="Z45" s="527"/>
      <c r="AA45" s="527"/>
      <c r="AB45" s="525"/>
      <c r="AH45" s="533"/>
    </row>
    <row r="46" spans="1:34">
      <c r="A46" s="525">
        <v>26</v>
      </c>
      <c r="B46" s="534" t="s">
        <v>238</v>
      </c>
      <c r="C46" s="525">
        <v>4561931385</v>
      </c>
      <c r="D46" s="525"/>
      <c r="E46" s="526">
        <f>H46</f>
        <v>20000</v>
      </c>
      <c r="F46" s="516">
        <f t="shared" si="6"/>
        <v>0</v>
      </c>
      <c r="G46" s="578"/>
      <c r="H46" s="566">
        <v>20000</v>
      </c>
      <c r="I46" s="527">
        <f t="shared" si="0"/>
        <v>20000</v>
      </c>
      <c r="J46" s="578"/>
      <c r="K46" s="578"/>
      <c r="L46" s="574"/>
      <c r="M46" s="578"/>
      <c r="N46" s="578"/>
      <c r="O46" s="574"/>
      <c r="P46" s="574"/>
      <c r="Q46" s="521"/>
      <c r="R46" s="574"/>
      <c r="S46" s="631"/>
      <c r="T46" s="631"/>
      <c r="U46" s="531"/>
      <c r="V46" s="535"/>
      <c r="W46" s="520">
        <f t="shared" si="1"/>
        <v>0</v>
      </c>
      <c r="X46" s="520">
        <f t="shared" si="2"/>
        <v>0</v>
      </c>
      <c r="Y46" s="523">
        <f t="shared" si="4"/>
        <v>0</v>
      </c>
      <c r="Z46" s="527"/>
      <c r="AA46" s="527"/>
      <c r="AB46" s="525"/>
      <c r="AH46" s="533"/>
    </row>
    <row r="47" spans="1:34">
      <c r="A47" s="548">
        <v>24</v>
      </c>
      <c r="B47" s="635" t="s">
        <v>239</v>
      </c>
      <c r="C47" s="548">
        <v>4561964158</v>
      </c>
      <c r="D47" s="548"/>
      <c r="E47" s="526">
        <v>1430300</v>
      </c>
      <c r="F47" s="516">
        <f t="shared" si="6"/>
        <v>0</v>
      </c>
      <c r="G47" s="636"/>
      <c r="H47" s="624">
        <v>1430300</v>
      </c>
      <c r="I47" s="550">
        <f t="shared" si="0"/>
        <v>1430300</v>
      </c>
      <c r="J47" s="636"/>
      <c r="K47" s="636"/>
      <c r="L47" s="623"/>
      <c r="M47" s="636"/>
      <c r="N47" s="636"/>
      <c r="O47" s="623"/>
      <c r="P47" s="574">
        <v>1430300</v>
      </c>
      <c r="Q47" s="521"/>
      <c r="R47" s="623"/>
      <c r="S47" s="627"/>
      <c r="T47" s="627"/>
      <c r="U47" s="521"/>
      <c r="V47" s="535"/>
      <c r="W47" s="520">
        <f t="shared" si="1"/>
        <v>1430300</v>
      </c>
      <c r="X47" s="520">
        <f t="shared" si="2"/>
        <v>0</v>
      </c>
      <c r="Y47" s="523">
        <f t="shared" si="4"/>
        <v>1430300</v>
      </c>
      <c r="Z47" s="550"/>
      <c r="AA47" s="550"/>
      <c r="AB47" s="548" t="s">
        <v>207</v>
      </c>
      <c r="AH47" s="533"/>
    </row>
    <row r="48" spans="1:34">
      <c r="A48" s="525">
        <v>28</v>
      </c>
      <c r="B48" s="632" t="s">
        <v>240</v>
      </c>
      <c r="C48" s="525">
        <v>40375984</v>
      </c>
      <c r="D48" s="525"/>
      <c r="E48" s="526">
        <v>148000</v>
      </c>
      <c r="F48" s="516">
        <f t="shared" si="6"/>
        <v>0</v>
      </c>
      <c r="G48" s="578"/>
      <c r="H48" s="566">
        <v>148000</v>
      </c>
      <c r="I48" s="527">
        <f t="shared" si="0"/>
        <v>148000</v>
      </c>
      <c r="J48" s="578"/>
      <c r="K48" s="578"/>
      <c r="L48" s="574"/>
      <c r="M48" s="578"/>
      <c r="N48" s="578">
        <v>74000</v>
      </c>
      <c r="O48" s="574"/>
      <c r="P48" s="574"/>
      <c r="Q48" s="521"/>
      <c r="R48" s="574"/>
      <c r="S48" s="631"/>
      <c r="T48" s="631"/>
      <c r="U48" s="531"/>
      <c r="V48" s="535"/>
      <c r="W48" s="520">
        <f t="shared" si="1"/>
        <v>74000</v>
      </c>
      <c r="X48" s="520">
        <f t="shared" si="2"/>
        <v>0</v>
      </c>
      <c r="Y48" s="523">
        <f t="shared" si="4"/>
        <v>74000</v>
      </c>
      <c r="Z48" s="527"/>
      <c r="AA48" s="527"/>
      <c r="AB48" s="525"/>
      <c r="AH48" s="533"/>
    </row>
    <row r="49" spans="1:34">
      <c r="A49" s="525">
        <v>29</v>
      </c>
      <c r="B49" s="632" t="s">
        <v>241</v>
      </c>
      <c r="C49" s="525" t="s">
        <v>242</v>
      </c>
      <c r="D49" s="525"/>
      <c r="E49" s="526"/>
      <c r="F49" s="516">
        <f t="shared" si="3"/>
        <v>0</v>
      </c>
      <c r="G49" s="578"/>
      <c r="H49" s="566">
        <v>360000</v>
      </c>
      <c r="I49" s="527">
        <f t="shared" si="0"/>
        <v>360000</v>
      </c>
      <c r="J49" s="578"/>
      <c r="K49" s="578"/>
      <c r="L49" s="574"/>
      <c r="M49" s="578"/>
      <c r="N49" s="578"/>
      <c r="O49" s="574"/>
      <c r="P49" s="574"/>
      <c r="Q49" s="521"/>
      <c r="R49" s="574"/>
      <c r="S49" s="631"/>
      <c r="T49" s="631"/>
      <c r="U49" s="531"/>
      <c r="V49" s="535"/>
      <c r="W49" s="520">
        <f t="shared" si="1"/>
        <v>0</v>
      </c>
      <c r="X49" s="520">
        <f t="shared" si="2"/>
        <v>0</v>
      </c>
      <c r="Y49" s="523">
        <f t="shared" si="4"/>
        <v>0</v>
      </c>
      <c r="Z49" s="527"/>
      <c r="AA49" s="527"/>
      <c r="AB49" s="525"/>
      <c r="AH49" s="533"/>
    </row>
    <row r="50" spans="1:34" ht="105">
      <c r="A50" s="525">
        <v>25</v>
      </c>
      <c r="B50" s="534" t="s">
        <v>243</v>
      </c>
      <c r="C50" s="637" t="s">
        <v>244</v>
      </c>
      <c r="D50" s="637"/>
      <c r="E50" s="638">
        <f>H50</f>
        <v>10389046</v>
      </c>
      <c r="F50" s="516">
        <f>E50-G50-H50</f>
        <v>0</v>
      </c>
      <c r="G50" s="578"/>
      <c r="H50" s="566">
        <v>10389046</v>
      </c>
      <c r="I50" s="527">
        <f t="shared" si="0"/>
        <v>10389046</v>
      </c>
      <c r="J50" s="578"/>
      <c r="K50" s="578"/>
      <c r="L50" s="578"/>
      <c r="M50" s="578"/>
      <c r="N50" s="578">
        <v>5649316</v>
      </c>
      <c r="O50" s="574">
        <v>283605</v>
      </c>
      <c r="P50" s="574"/>
      <c r="Q50" s="521">
        <v>1692151</v>
      </c>
      <c r="R50" s="578"/>
      <c r="S50" s="609"/>
      <c r="T50" s="609"/>
      <c r="U50" s="520"/>
      <c r="V50" s="522"/>
      <c r="W50" s="520">
        <f t="shared" si="1"/>
        <v>7625072</v>
      </c>
      <c r="X50" s="520">
        <f t="shared" si="2"/>
        <v>0</v>
      </c>
      <c r="Y50" s="523">
        <f t="shared" si="4"/>
        <v>7625072</v>
      </c>
      <c r="Z50" s="527"/>
      <c r="AA50" s="527"/>
      <c r="AB50" s="525" t="s">
        <v>245</v>
      </c>
      <c r="AH50" s="533"/>
    </row>
    <row r="51" spans="1:34">
      <c r="A51" s="525">
        <v>45</v>
      </c>
      <c r="B51" s="628" t="s">
        <v>246</v>
      </c>
      <c r="C51" s="639" t="s">
        <v>247</v>
      </c>
      <c r="D51" s="639"/>
      <c r="E51" s="638">
        <v>46300</v>
      </c>
      <c r="F51" s="549">
        <f>E51-G51-H51</f>
        <v>0</v>
      </c>
      <c r="G51" s="636"/>
      <c r="H51" s="624">
        <v>46300</v>
      </c>
      <c r="I51" s="550">
        <f t="shared" si="0"/>
        <v>46300</v>
      </c>
      <c r="J51" s="636"/>
      <c r="K51" s="636"/>
      <c r="L51" s="636"/>
      <c r="M51" s="636">
        <v>46300</v>
      </c>
      <c r="N51" s="636"/>
      <c r="O51" s="636"/>
      <c r="P51" s="636"/>
      <c r="Q51" s="521"/>
      <c r="R51" s="636"/>
      <c r="S51" s="626"/>
      <c r="T51" s="626"/>
      <c r="U51" s="554"/>
      <c r="V51" s="554"/>
      <c r="W51" s="554">
        <f t="shared" si="1"/>
        <v>46300</v>
      </c>
      <c r="X51" s="554">
        <f t="shared" si="2"/>
        <v>0</v>
      </c>
      <c r="Y51" s="523">
        <f t="shared" si="4"/>
        <v>46300</v>
      </c>
      <c r="Z51" s="550"/>
      <c r="AA51" s="550"/>
      <c r="AB51" s="548" t="s">
        <v>248</v>
      </c>
      <c r="AH51" s="533"/>
    </row>
    <row r="52" spans="1:34" ht="42">
      <c r="A52" s="525">
        <v>26</v>
      </c>
      <c r="B52" s="640" t="s">
        <v>249</v>
      </c>
      <c r="C52" s="639" t="s">
        <v>250</v>
      </c>
      <c r="D52" s="639"/>
      <c r="E52" s="641">
        <f>H52</f>
        <v>639823</v>
      </c>
      <c r="F52" s="549">
        <f>E52-G52-H52</f>
        <v>0</v>
      </c>
      <c r="G52" s="636"/>
      <c r="H52" s="624">
        <f>645513-5690</f>
        <v>639823</v>
      </c>
      <c r="I52" s="550">
        <f t="shared" si="0"/>
        <v>639823</v>
      </c>
      <c r="J52" s="636"/>
      <c r="K52" s="636"/>
      <c r="L52" s="636"/>
      <c r="M52" s="636"/>
      <c r="N52" s="636"/>
      <c r="O52" s="623"/>
      <c r="P52" s="623">
        <v>153540</v>
      </c>
      <c r="Q52" s="521">
        <f>541063+98760+107572.35+29848.5+117566.5</f>
        <v>894810.35</v>
      </c>
      <c r="R52" s="636"/>
      <c r="S52" s="636"/>
      <c r="T52" s="636"/>
      <c r="U52" s="554"/>
      <c r="V52" s="642">
        <v>408523.35</v>
      </c>
      <c r="W52" s="554">
        <f>SUM(J52:Q52)-SUM(R52:V52)</f>
        <v>639827</v>
      </c>
      <c r="X52" s="554">
        <f t="shared" si="2"/>
        <v>0</v>
      </c>
      <c r="Y52" s="523">
        <f t="shared" si="4"/>
        <v>639827</v>
      </c>
      <c r="Z52" s="550"/>
      <c r="AA52" s="550"/>
      <c r="AB52" s="548" t="s">
        <v>207</v>
      </c>
      <c r="AH52" s="533"/>
    </row>
    <row r="53" spans="1:34">
      <c r="A53" s="525">
        <v>47</v>
      </c>
      <c r="B53" s="534" t="s">
        <v>251</v>
      </c>
      <c r="C53" s="637">
        <v>2300018047</v>
      </c>
      <c r="D53" s="637"/>
      <c r="E53" s="641">
        <f>H53</f>
        <v>31480</v>
      </c>
      <c r="F53" s="516">
        <f>E53-G53-H53</f>
        <v>0</v>
      </c>
      <c r="G53" s="578"/>
      <c r="H53" s="566">
        <v>31480</v>
      </c>
      <c r="I53" s="527">
        <f t="shared" si="0"/>
        <v>31480</v>
      </c>
      <c r="J53" s="578"/>
      <c r="K53" s="578"/>
      <c r="L53" s="578"/>
      <c r="M53" s="578"/>
      <c r="N53" s="578"/>
      <c r="O53" s="578"/>
      <c r="P53" s="578"/>
      <c r="Q53" s="521"/>
      <c r="R53" s="578"/>
      <c r="S53" s="578"/>
      <c r="T53" s="578"/>
      <c r="U53" s="520"/>
      <c r="V53" s="522"/>
      <c r="W53" s="520">
        <f t="shared" si="1"/>
        <v>0</v>
      </c>
      <c r="X53" s="520">
        <f t="shared" si="2"/>
        <v>0</v>
      </c>
      <c r="Y53" s="523">
        <f t="shared" si="4"/>
        <v>0</v>
      </c>
      <c r="Z53" s="527"/>
      <c r="AA53" s="527"/>
      <c r="AB53" s="525"/>
      <c r="AH53" s="533"/>
    </row>
    <row r="54" spans="1:34">
      <c r="A54" s="525">
        <v>48</v>
      </c>
      <c r="B54" s="534" t="s">
        <v>252</v>
      </c>
      <c r="C54" s="637">
        <v>2300018052</v>
      </c>
      <c r="D54" s="637"/>
      <c r="E54" s="641">
        <f t="shared" ref="E54:E55" si="7">H54</f>
        <v>18550</v>
      </c>
      <c r="F54" s="516">
        <f t="shared" ref="F54:F55" si="8">E54-G54-H54</f>
        <v>0</v>
      </c>
      <c r="G54" s="578"/>
      <c r="H54" s="566">
        <v>18550</v>
      </c>
      <c r="I54" s="527">
        <f t="shared" si="0"/>
        <v>18550</v>
      </c>
      <c r="J54" s="578"/>
      <c r="K54" s="578"/>
      <c r="L54" s="578"/>
      <c r="M54" s="578"/>
      <c r="N54" s="578"/>
      <c r="O54" s="578"/>
      <c r="P54" s="578"/>
      <c r="Q54" s="521"/>
      <c r="R54" s="578"/>
      <c r="S54" s="578"/>
      <c r="T54" s="578"/>
      <c r="U54" s="520"/>
      <c r="V54" s="522"/>
      <c r="W54" s="520">
        <f t="shared" si="1"/>
        <v>0</v>
      </c>
      <c r="X54" s="520">
        <f t="shared" si="2"/>
        <v>0</v>
      </c>
      <c r="Y54" s="523">
        <f t="shared" si="4"/>
        <v>0</v>
      </c>
      <c r="Z54" s="527"/>
      <c r="AA54" s="527"/>
      <c r="AB54" s="525"/>
      <c r="AH54" s="533"/>
    </row>
    <row r="55" spans="1:34">
      <c r="A55" s="525">
        <v>49</v>
      </c>
      <c r="B55" s="534" t="s">
        <v>252</v>
      </c>
      <c r="C55" s="637">
        <v>2300018053</v>
      </c>
      <c r="D55" s="637"/>
      <c r="E55" s="641">
        <f t="shared" si="7"/>
        <v>59980</v>
      </c>
      <c r="F55" s="516">
        <f t="shared" si="8"/>
        <v>0</v>
      </c>
      <c r="G55" s="578"/>
      <c r="H55" s="566">
        <v>59980</v>
      </c>
      <c r="I55" s="527">
        <f t="shared" si="0"/>
        <v>59980</v>
      </c>
      <c r="J55" s="578"/>
      <c r="K55" s="578"/>
      <c r="L55" s="578"/>
      <c r="M55" s="578"/>
      <c r="N55" s="578"/>
      <c r="O55" s="578"/>
      <c r="P55" s="578"/>
      <c r="Q55" s="521"/>
      <c r="R55" s="578"/>
      <c r="S55" s="578"/>
      <c r="T55" s="578"/>
      <c r="U55" s="520"/>
      <c r="V55" s="522"/>
      <c r="W55" s="520">
        <f t="shared" si="1"/>
        <v>0</v>
      </c>
      <c r="X55" s="520">
        <f t="shared" si="2"/>
        <v>0</v>
      </c>
      <c r="Y55" s="523">
        <f t="shared" si="4"/>
        <v>0</v>
      </c>
      <c r="Z55" s="527"/>
      <c r="AA55" s="527"/>
      <c r="AB55" s="525"/>
      <c r="AH55" s="533"/>
    </row>
    <row r="56" spans="1:34">
      <c r="A56" s="525">
        <v>27</v>
      </c>
      <c r="B56" s="640" t="s">
        <v>253</v>
      </c>
      <c r="C56" s="639">
        <v>1300005422</v>
      </c>
      <c r="D56" s="639"/>
      <c r="E56" s="641">
        <f>H56</f>
        <v>331415</v>
      </c>
      <c r="F56" s="549">
        <f>E56-G56-H56</f>
        <v>0</v>
      </c>
      <c r="G56" s="636"/>
      <c r="H56" s="624">
        <v>331415</v>
      </c>
      <c r="I56" s="550">
        <f t="shared" si="0"/>
        <v>331415</v>
      </c>
      <c r="J56" s="636"/>
      <c r="K56" s="636"/>
      <c r="L56" s="636"/>
      <c r="M56" s="636"/>
      <c r="N56" s="636"/>
      <c r="O56" s="636"/>
      <c r="P56" s="623">
        <v>308865</v>
      </c>
      <c r="Q56" s="521"/>
      <c r="R56" s="636"/>
      <c r="S56" s="636"/>
      <c r="T56" s="636"/>
      <c r="U56" s="554"/>
      <c r="V56" s="554"/>
      <c r="W56" s="554">
        <f>SUM(J56:Q56)-SUM(R56:V56)</f>
        <v>308865</v>
      </c>
      <c r="X56" s="554">
        <f t="shared" si="2"/>
        <v>0</v>
      </c>
      <c r="Y56" s="523">
        <f t="shared" si="4"/>
        <v>308865</v>
      </c>
      <c r="Z56" s="550"/>
      <c r="AA56" s="550"/>
      <c r="AB56" s="548" t="s">
        <v>207</v>
      </c>
      <c r="AH56" s="533"/>
    </row>
    <row r="57" spans="1:34">
      <c r="A57" s="525">
        <v>28</v>
      </c>
      <c r="B57" s="640" t="s">
        <v>254</v>
      </c>
      <c r="C57" s="639"/>
      <c r="D57" s="639"/>
      <c r="E57" s="641">
        <f t="shared" ref="E57:E59" si="9">H57</f>
        <v>16490</v>
      </c>
      <c r="F57" s="549">
        <f t="shared" ref="F57:F59" si="10">E57-G57-H57</f>
        <v>0</v>
      </c>
      <c r="G57" s="636"/>
      <c r="H57" s="624">
        <v>16490</v>
      </c>
      <c r="I57" s="550">
        <f t="shared" si="0"/>
        <v>16490</v>
      </c>
      <c r="J57" s="636"/>
      <c r="K57" s="636"/>
      <c r="L57" s="636"/>
      <c r="M57" s="636"/>
      <c r="N57" s="636"/>
      <c r="O57" s="636"/>
      <c r="P57" s="623">
        <v>16490</v>
      </c>
      <c r="Q57" s="521"/>
      <c r="R57" s="636"/>
      <c r="S57" s="636"/>
      <c r="T57" s="636"/>
      <c r="U57" s="554"/>
      <c r="V57" s="554"/>
      <c r="W57" s="554">
        <f t="shared" si="1"/>
        <v>16490</v>
      </c>
      <c r="X57" s="554">
        <f t="shared" si="2"/>
        <v>0</v>
      </c>
      <c r="Y57" s="523">
        <f t="shared" si="4"/>
        <v>16490</v>
      </c>
      <c r="Z57" s="550"/>
      <c r="AA57" s="550"/>
      <c r="AB57" s="548" t="s">
        <v>207</v>
      </c>
      <c r="AH57" s="533"/>
    </row>
    <row r="58" spans="1:34">
      <c r="A58" s="525">
        <v>29</v>
      </c>
      <c r="B58" s="640" t="s">
        <v>253</v>
      </c>
      <c r="C58" s="639">
        <v>1300005423</v>
      </c>
      <c r="D58" s="639"/>
      <c r="E58" s="641">
        <f t="shared" si="9"/>
        <v>119040</v>
      </c>
      <c r="F58" s="549">
        <f t="shared" si="10"/>
        <v>0</v>
      </c>
      <c r="G58" s="636"/>
      <c r="H58" s="624">
        <v>119040</v>
      </c>
      <c r="I58" s="550">
        <f t="shared" si="0"/>
        <v>119040</v>
      </c>
      <c r="J58" s="636"/>
      <c r="K58" s="636"/>
      <c r="L58" s="636"/>
      <c r="M58" s="636"/>
      <c r="N58" s="636"/>
      <c r="O58" s="636"/>
      <c r="P58" s="623">
        <v>118290</v>
      </c>
      <c r="Q58" s="521"/>
      <c r="R58" s="636"/>
      <c r="S58" s="636"/>
      <c r="T58" s="636"/>
      <c r="U58" s="554"/>
      <c r="V58" s="554"/>
      <c r="W58" s="554">
        <f>SUM(J58:Q58)-SUM(R58:V58)</f>
        <v>118290</v>
      </c>
      <c r="X58" s="554">
        <f t="shared" si="2"/>
        <v>0</v>
      </c>
      <c r="Y58" s="523">
        <f t="shared" si="4"/>
        <v>118290</v>
      </c>
      <c r="Z58" s="550"/>
      <c r="AA58" s="550"/>
      <c r="AB58" s="548" t="s">
        <v>207</v>
      </c>
      <c r="AH58" s="533"/>
    </row>
    <row r="59" spans="1:34">
      <c r="A59" s="525">
        <v>30</v>
      </c>
      <c r="B59" s="628" t="s">
        <v>255</v>
      </c>
      <c r="C59" s="639">
        <v>1300005424</v>
      </c>
      <c r="D59" s="639"/>
      <c r="E59" s="641">
        <f t="shared" si="9"/>
        <v>217045</v>
      </c>
      <c r="F59" s="549">
        <f t="shared" si="10"/>
        <v>0</v>
      </c>
      <c r="G59" s="636"/>
      <c r="H59" s="624">
        <v>217045</v>
      </c>
      <c r="I59" s="550">
        <f t="shared" si="0"/>
        <v>217045</v>
      </c>
      <c r="J59" s="636"/>
      <c r="K59" s="636"/>
      <c r="L59" s="636"/>
      <c r="M59" s="636"/>
      <c r="N59" s="636"/>
      <c r="O59" s="636"/>
      <c r="P59" s="623">
        <v>194855</v>
      </c>
      <c r="Q59" s="521">
        <v>17800</v>
      </c>
      <c r="R59" s="636"/>
      <c r="S59" s="636"/>
      <c r="T59" s="636"/>
      <c r="U59" s="554"/>
      <c r="V59" s="554"/>
      <c r="W59" s="554">
        <f t="shared" si="1"/>
        <v>212655</v>
      </c>
      <c r="X59" s="554">
        <f t="shared" si="2"/>
        <v>0</v>
      </c>
      <c r="Y59" s="523">
        <f t="shared" si="4"/>
        <v>212655</v>
      </c>
      <c r="Z59" s="550"/>
      <c r="AA59" s="550"/>
      <c r="AB59" s="548" t="s">
        <v>207</v>
      </c>
      <c r="AH59" s="533"/>
    </row>
    <row r="60" spans="1:34" ht="42">
      <c r="A60" s="525">
        <v>31</v>
      </c>
      <c r="B60" s="561" t="s">
        <v>256</v>
      </c>
      <c r="C60" s="637" t="s">
        <v>257</v>
      </c>
      <c r="D60" s="637"/>
      <c r="E60" s="641">
        <f>H60</f>
        <v>737756</v>
      </c>
      <c r="F60" s="516">
        <f>E60-G60-H60</f>
        <v>0</v>
      </c>
      <c r="G60" s="578"/>
      <c r="H60" s="566">
        <v>737756</v>
      </c>
      <c r="I60" s="527">
        <f t="shared" si="0"/>
        <v>737756</v>
      </c>
      <c r="J60" s="578"/>
      <c r="K60" s="578"/>
      <c r="L60" s="578"/>
      <c r="M60" s="578"/>
      <c r="N60" s="578"/>
      <c r="O60" s="578"/>
      <c r="P60" s="578"/>
      <c r="Q60" s="521"/>
      <c r="R60" s="578"/>
      <c r="S60" s="578"/>
      <c r="T60" s="578"/>
      <c r="U60" s="520"/>
      <c r="V60" s="522"/>
      <c r="W60" s="520">
        <f t="shared" si="1"/>
        <v>0</v>
      </c>
      <c r="X60" s="520">
        <f t="shared" si="2"/>
        <v>0</v>
      </c>
      <c r="Y60" s="523">
        <f t="shared" si="4"/>
        <v>0</v>
      </c>
      <c r="Z60" s="527"/>
      <c r="AA60" s="527"/>
      <c r="AB60" s="525"/>
      <c r="AH60" s="533"/>
    </row>
    <row r="61" spans="1:34" ht="42">
      <c r="A61" s="525">
        <v>54</v>
      </c>
      <c r="B61" s="628" t="s">
        <v>258</v>
      </c>
      <c r="C61" s="639" t="s">
        <v>259</v>
      </c>
      <c r="D61" s="639"/>
      <c r="E61" s="641">
        <v>50000</v>
      </c>
      <c r="F61" s="549">
        <f t="shared" ref="F61:F69" si="11">E61-G61-H61</f>
        <v>0</v>
      </c>
      <c r="G61" s="636"/>
      <c r="H61" s="624">
        <v>50000</v>
      </c>
      <c r="I61" s="550">
        <f t="shared" si="0"/>
        <v>50000</v>
      </c>
      <c r="J61" s="636"/>
      <c r="K61" s="636"/>
      <c r="L61" s="636"/>
      <c r="M61" s="636"/>
      <c r="N61" s="636"/>
      <c r="O61" s="623">
        <v>50000</v>
      </c>
      <c r="P61" s="623"/>
      <c r="Q61" s="521"/>
      <c r="R61" s="636"/>
      <c r="S61" s="636"/>
      <c r="T61" s="636"/>
      <c r="U61" s="554"/>
      <c r="V61" s="554"/>
      <c r="W61" s="554">
        <f t="shared" si="1"/>
        <v>50000</v>
      </c>
      <c r="X61" s="554">
        <f t="shared" si="2"/>
        <v>0</v>
      </c>
      <c r="Y61" s="523">
        <f t="shared" si="4"/>
        <v>50000</v>
      </c>
      <c r="Z61" s="527"/>
      <c r="AA61" s="527"/>
      <c r="AB61" s="525"/>
      <c r="AH61" s="533"/>
    </row>
    <row r="62" spans="1:34">
      <c r="A62" s="525">
        <v>32</v>
      </c>
      <c r="B62" s="561" t="s">
        <v>260</v>
      </c>
      <c r="C62" s="637">
        <v>2300018318</v>
      </c>
      <c r="D62" s="637"/>
      <c r="E62" s="641">
        <f t="shared" ref="E62:E69" si="12">H62</f>
        <v>2839930</v>
      </c>
      <c r="F62" s="516">
        <f t="shared" si="11"/>
        <v>0</v>
      </c>
      <c r="G62" s="578"/>
      <c r="H62" s="566">
        <v>2839930</v>
      </c>
      <c r="I62" s="527">
        <f t="shared" si="0"/>
        <v>2839930</v>
      </c>
      <c r="J62" s="578"/>
      <c r="K62" s="578"/>
      <c r="L62" s="578"/>
      <c r="M62" s="578"/>
      <c r="N62" s="578"/>
      <c r="O62" s="574">
        <v>709982.5</v>
      </c>
      <c r="P62" s="574"/>
      <c r="Q62" s="521">
        <v>709983</v>
      </c>
      <c r="R62" s="578"/>
      <c r="S62" s="578"/>
      <c r="T62" s="578"/>
      <c r="U62" s="520"/>
      <c r="V62" s="522"/>
      <c r="W62" s="520">
        <f t="shared" si="1"/>
        <v>1419965.5</v>
      </c>
      <c r="X62" s="520">
        <f t="shared" si="2"/>
        <v>0</v>
      </c>
      <c r="Y62" s="523">
        <f t="shared" si="4"/>
        <v>1419965.5</v>
      </c>
      <c r="Z62" s="527"/>
      <c r="AA62" s="527"/>
      <c r="AB62" s="525"/>
      <c r="AH62" s="533"/>
    </row>
    <row r="63" spans="1:34">
      <c r="A63" s="525">
        <v>33</v>
      </c>
      <c r="B63" s="561" t="s">
        <v>261</v>
      </c>
      <c r="C63" s="637">
        <v>11011204044</v>
      </c>
      <c r="D63" s="637"/>
      <c r="E63" s="641">
        <f t="shared" si="12"/>
        <v>1694224</v>
      </c>
      <c r="F63" s="516">
        <f t="shared" si="11"/>
        <v>0</v>
      </c>
      <c r="G63" s="578"/>
      <c r="H63" s="566">
        <v>1694224</v>
      </c>
      <c r="I63" s="527">
        <f t="shared" si="0"/>
        <v>1694224</v>
      </c>
      <c r="J63" s="578"/>
      <c r="K63" s="578"/>
      <c r="L63" s="578"/>
      <c r="M63" s="578"/>
      <c r="N63" s="578"/>
      <c r="O63" s="578"/>
      <c r="P63" s="578"/>
      <c r="Q63" s="521"/>
      <c r="R63" s="578"/>
      <c r="S63" s="578"/>
      <c r="T63" s="578"/>
      <c r="U63" s="520"/>
      <c r="V63" s="522"/>
      <c r="W63" s="520">
        <f t="shared" si="1"/>
        <v>0</v>
      </c>
      <c r="X63" s="520">
        <f t="shared" si="2"/>
        <v>0</v>
      </c>
      <c r="Y63" s="523">
        <f t="shared" si="4"/>
        <v>0</v>
      </c>
      <c r="Z63" s="527"/>
      <c r="AA63" s="527"/>
      <c r="AB63" s="525"/>
      <c r="AH63" s="533"/>
    </row>
    <row r="64" spans="1:34">
      <c r="A64" s="525">
        <v>34</v>
      </c>
      <c r="B64" s="561" t="s">
        <v>262</v>
      </c>
      <c r="C64" s="637">
        <v>11044135650</v>
      </c>
      <c r="D64" s="637"/>
      <c r="E64" s="641">
        <f t="shared" si="12"/>
        <v>289083</v>
      </c>
      <c r="F64" s="516">
        <f t="shared" si="11"/>
        <v>0</v>
      </c>
      <c r="G64" s="578"/>
      <c r="H64" s="566">
        <v>289083</v>
      </c>
      <c r="I64" s="527">
        <f t="shared" si="0"/>
        <v>289083</v>
      </c>
      <c r="J64" s="578"/>
      <c r="K64" s="578"/>
      <c r="L64" s="578"/>
      <c r="M64" s="578"/>
      <c r="N64" s="578"/>
      <c r="O64" s="578"/>
      <c r="P64" s="578"/>
      <c r="Q64" s="521"/>
      <c r="R64" s="578"/>
      <c r="S64" s="578"/>
      <c r="T64" s="578"/>
      <c r="U64" s="520"/>
      <c r="V64" s="522"/>
      <c r="W64" s="520">
        <f t="shared" si="1"/>
        <v>0</v>
      </c>
      <c r="X64" s="520">
        <f t="shared" si="2"/>
        <v>0</v>
      </c>
      <c r="Y64" s="523">
        <f t="shared" si="4"/>
        <v>0</v>
      </c>
      <c r="Z64" s="527"/>
      <c r="AA64" s="527"/>
      <c r="AB64" s="525"/>
      <c r="AH64" s="533"/>
    </row>
    <row r="65" spans="1:34">
      <c r="A65" s="525">
        <v>35</v>
      </c>
      <c r="B65" s="561" t="s">
        <v>263</v>
      </c>
      <c r="C65" s="637">
        <v>11044135651</v>
      </c>
      <c r="D65" s="637"/>
      <c r="E65" s="641">
        <f t="shared" si="12"/>
        <v>289083</v>
      </c>
      <c r="F65" s="516">
        <f t="shared" si="11"/>
        <v>0</v>
      </c>
      <c r="G65" s="578"/>
      <c r="H65" s="566">
        <v>289083</v>
      </c>
      <c r="I65" s="527">
        <f t="shared" si="0"/>
        <v>289083</v>
      </c>
      <c r="J65" s="578"/>
      <c r="K65" s="578"/>
      <c r="L65" s="578"/>
      <c r="M65" s="578"/>
      <c r="N65" s="578"/>
      <c r="O65" s="578"/>
      <c r="P65" s="578"/>
      <c r="Q65" s="521"/>
      <c r="R65" s="578"/>
      <c r="S65" s="578"/>
      <c r="T65" s="578"/>
      <c r="U65" s="520"/>
      <c r="V65" s="522"/>
      <c r="W65" s="520">
        <f t="shared" si="1"/>
        <v>0</v>
      </c>
      <c r="X65" s="520">
        <f t="shared" si="2"/>
        <v>0</v>
      </c>
      <c r="Y65" s="523">
        <f t="shared" si="4"/>
        <v>0</v>
      </c>
      <c r="Z65" s="527"/>
      <c r="AA65" s="527"/>
      <c r="AB65" s="525"/>
      <c r="AH65" s="533"/>
    </row>
    <row r="66" spans="1:34">
      <c r="A66" s="611">
        <v>36</v>
      </c>
      <c r="B66" s="534" t="s">
        <v>264</v>
      </c>
      <c r="C66" s="643" t="s">
        <v>265</v>
      </c>
      <c r="D66" s="643"/>
      <c r="E66" s="644">
        <f t="shared" si="12"/>
        <v>9850000</v>
      </c>
      <c r="F66" s="516">
        <f t="shared" si="11"/>
        <v>0</v>
      </c>
      <c r="G66" s="578"/>
      <c r="H66" s="566">
        <v>9850000</v>
      </c>
      <c r="I66" s="527">
        <f t="shared" si="0"/>
        <v>9850000</v>
      </c>
      <c r="J66" s="578"/>
      <c r="K66" s="578"/>
      <c r="L66" s="578"/>
      <c r="M66" s="578"/>
      <c r="N66" s="578"/>
      <c r="O66" s="578"/>
      <c r="P66" s="578"/>
      <c r="Q66" s="623"/>
      <c r="R66" s="578"/>
      <c r="S66" s="578"/>
      <c r="T66" s="578"/>
      <c r="U66" s="578"/>
      <c r="V66" s="645"/>
      <c r="W66" s="520">
        <f t="shared" si="1"/>
        <v>0</v>
      </c>
      <c r="X66" s="520">
        <f t="shared" si="2"/>
        <v>0</v>
      </c>
      <c r="Y66" s="523">
        <f t="shared" si="4"/>
        <v>0</v>
      </c>
      <c r="Z66" s="527"/>
      <c r="AA66" s="527"/>
      <c r="AB66" s="525"/>
      <c r="AH66" s="533"/>
    </row>
    <row r="67" spans="1:34">
      <c r="A67" s="646">
        <v>37</v>
      </c>
      <c r="B67" s="534" t="s">
        <v>266</v>
      </c>
      <c r="C67" s="643" t="s">
        <v>265</v>
      </c>
      <c r="D67" s="643"/>
      <c r="E67" s="644">
        <f t="shared" si="12"/>
        <v>2829825</v>
      </c>
      <c r="F67" s="516">
        <f t="shared" si="11"/>
        <v>0</v>
      </c>
      <c r="G67" s="578"/>
      <c r="H67" s="566">
        <v>2829825</v>
      </c>
      <c r="I67" s="527">
        <f t="shared" si="0"/>
        <v>2829825</v>
      </c>
      <c r="J67" s="578"/>
      <c r="K67" s="578"/>
      <c r="L67" s="578"/>
      <c r="M67" s="578"/>
      <c r="N67" s="578"/>
      <c r="O67" s="578"/>
      <c r="P67" s="578"/>
      <c r="Q67" s="623"/>
      <c r="R67" s="578"/>
      <c r="S67" s="578"/>
      <c r="T67" s="578"/>
      <c r="U67" s="578"/>
      <c r="V67" s="645"/>
      <c r="W67" s="520">
        <f t="shared" si="1"/>
        <v>0</v>
      </c>
      <c r="X67" s="520">
        <f t="shared" si="2"/>
        <v>0</v>
      </c>
      <c r="Y67" s="523">
        <f t="shared" si="4"/>
        <v>0</v>
      </c>
      <c r="Z67" s="527"/>
      <c r="AA67" s="527"/>
      <c r="AB67" s="525"/>
      <c r="AH67" s="533"/>
    </row>
    <row r="68" spans="1:34">
      <c r="A68" s="646">
        <v>38</v>
      </c>
      <c r="B68" s="534" t="s">
        <v>267</v>
      </c>
      <c r="C68" s="643" t="s">
        <v>265</v>
      </c>
      <c r="D68" s="643"/>
      <c r="E68" s="644">
        <f t="shared" si="12"/>
        <v>2829825</v>
      </c>
      <c r="F68" s="516">
        <f t="shared" si="11"/>
        <v>0</v>
      </c>
      <c r="G68" s="578"/>
      <c r="H68" s="566">
        <v>2829825</v>
      </c>
      <c r="I68" s="527">
        <f t="shared" si="0"/>
        <v>2829825</v>
      </c>
      <c r="J68" s="578"/>
      <c r="K68" s="578"/>
      <c r="L68" s="578"/>
      <c r="M68" s="578"/>
      <c r="N68" s="578"/>
      <c r="O68" s="578"/>
      <c r="P68" s="578"/>
      <c r="Q68" s="623"/>
      <c r="R68" s="578"/>
      <c r="S68" s="578"/>
      <c r="T68" s="578"/>
      <c r="U68" s="578"/>
      <c r="V68" s="645"/>
      <c r="W68" s="520">
        <f t="shared" si="1"/>
        <v>0</v>
      </c>
      <c r="X68" s="520">
        <f t="shared" si="2"/>
        <v>0</v>
      </c>
      <c r="Y68" s="523">
        <f t="shared" si="4"/>
        <v>0</v>
      </c>
      <c r="Z68" s="527"/>
      <c r="AA68" s="527"/>
      <c r="AB68" s="525"/>
      <c r="AH68" s="533"/>
    </row>
    <row r="69" spans="1:34" ht="21.5" thickBot="1">
      <c r="A69" s="646">
        <v>39</v>
      </c>
      <c r="B69" s="647" t="s">
        <v>268</v>
      </c>
      <c r="C69" s="648"/>
      <c r="D69" s="648"/>
      <c r="E69" s="649">
        <f t="shared" si="12"/>
        <v>249000</v>
      </c>
      <c r="F69" s="516">
        <f t="shared" si="11"/>
        <v>0</v>
      </c>
      <c r="G69" s="613"/>
      <c r="H69" s="614">
        <v>249000</v>
      </c>
      <c r="I69" s="630">
        <f t="shared" si="0"/>
        <v>249000</v>
      </c>
      <c r="J69" s="613"/>
      <c r="K69" s="613"/>
      <c r="L69" s="613"/>
      <c r="M69" s="613"/>
      <c r="N69" s="613"/>
      <c r="O69" s="613"/>
      <c r="P69" s="613"/>
      <c r="Q69" s="650"/>
      <c r="R69" s="578"/>
      <c r="S69" s="578"/>
      <c r="T69" s="578"/>
      <c r="U69" s="613"/>
      <c r="V69" s="651"/>
      <c r="W69" s="520">
        <f t="shared" si="1"/>
        <v>0</v>
      </c>
      <c r="X69" s="520">
        <f t="shared" si="2"/>
        <v>0</v>
      </c>
      <c r="Y69" s="523">
        <f t="shared" si="4"/>
        <v>0</v>
      </c>
      <c r="Z69" s="527"/>
      <c r="AA69" s="527"/>
      <c r="AB69" s="525"/>
      <c r="AH69" s="533"/>
    </row>
    <row r="70" spans="1:34" ht="21.5" thickBot="1">
      <c r="A70" s="652" t="s">
        <v>269</v>
      </c>
      <c r="B70" s="653"/>
      <c r="C70" s="654"/>
      <c r="D70" s="482"/>
      <c r="E70" s="655">
        <f>SUM(E5:E69)</f>
        <v>281757875</v>
      </c>
      <c r="F70" s="655">
        <f t="shared" ref="F70:Y70" si="13">SUM(F5:F69)</f>
        <v>93007548.799999997</v>
      </c>
      <c r="G70" s="655">
        <f t="shared" si="13"/>
        <v>109343401.2</v>
      </c>
      <c r="H70" s="655">
        <f>SUM(H5:H69)</f>
        <v>82678774</v>
      </c>
      <c r="I70" s="655">
        <f t="shared" si="13"/>
        <v>192022175.19999999</v>
      </c>
      <c r="J70" s="655">
        <f t="shared" si="13"/>
        <v>1453395</v>
      </c>
      <c r="K70" s="655">
        <f t="shared" si="13"/>
        <v>10978461</v>
      </c>
      <c r="L70" s="655">
        <f t="shared" si="13"/>
        <v>6730463</v>
      </c>
      <c r="M70" s="655">
        <f t="shared" si="13"/>
        <v>10610813.75</v>
      </c>
      <c r="N70" s="655">
        <f t="shared" si="13"/>
        <v>9405459.5</v>
      </c>
      <c r="O70" s="655">
        <f t="shared" si="13"/>
        <v>12804524.5</v>
      </c>
      <c r="P70" s="655">
        <f t="shared" si="13"/>
        <v>2964927</v>
      </c>
      <c r="Q70" s="655">
        <f t="shared" si="13"/>
        <v>11293980.35</v>
      </c>
      <c r="R70" s="655">
        <f t="shared" si="13"/>
        <v>1082425</v>
      </c>
      <c r="S70" s="655">
        <f t="shared" si="13"/>
        <v>329278</v>
      </c>
      <c r="T70" s="655">
        <f t="shared" si="13"/>
        <v>382493</v>
      </c>
      <c r="U70" s="655">
        <f t="shared" si="13"/>
        <v>0</v>
      </c>
      <c r="V70" s="655">
        <f t="shared" si="13"/>
        <v>876877.35</v>
      </c>
      <c r="W70" s="655">
        <f t="shared" si="13"/>
        <v>63570950.75</v>
      </c>
      <c r="X70" s="655">
        <f t="shared" si="13"/>
        <v>93007548.799999997</v>
      </c>
      <c r="Y70" s="655">
        <f t="shared" si="13"/>
        <v>156578499.55000001</v>
      </c>
      <c r="Z70" s="656"/>
      <c r="AA70" s="657"/>
      <c r="AB70" s="658"/>
      <c r="AH70" s="533"/>
    </row>
    <row r="71" spans="1:34">
      <c r="A71" s="659" t="s">
        <v>270</v>
      </c>
      <c r="B71" s="660"/>
      <c r="C71" s="660"/>
      <c r="D71" s="660"/>
      <c r="E71" s="660"/>
      <c r="F71" s="660"/>
      <c r="G71" s="660"/>
      <c r="H71" s="660"/>
      <c r="I71" s="661"/>
      <c r="J71" s="662">
        <f>J70+K70+L70+M70+N70+O70+P70+Q70</f>
        <v>66242024.100000001</v>
      </c>
      <c r="K71" s="663"/>
      <c r="L71" s="663"/>
      <c r="M71" s="663"/>
      <c r="N71" s="66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</row>
    <row r="72" spans="1:34" ht="21.5" thickBot="1">
      <c r="A72" s="665"/>
      <c r="B72" s="666"/>
      <c r="C72" s="666"/>
      <c r="D72" s="666"/>
      <c r="E72" s="666"/>
      <c r="F72" s="666"/>
      <c r="G72" s="666"/>
      <c r="H72" s="666"/>
      <c r="I72" s="667"/>
      <c r="J72" s="668"/>
      <c r="K72" s="669"/>
      <c r="L72" s="669"/>
      <c r="M72" s="669"/>
      <c r="N72" s="670"/>
      <c r="O72" s="204"/>
      <c r="P72" s="204"/>
      <c r="Q72" s="204"/>
      <c r="R72" s="204"/>
      <c r="S72" s="204"/>
      <c r="T72" s="204"/>
      <c r="U72" s="204"/>
      <c r="V72" s="204"/>
      <c r="W72" s="204"/>
      <c r="X72" s="204"/>
    </row>
    <row r="73" spans="1:34">
      <c r="A73" s="671" t="s">
        <v>271</v>
      </c>
      <c r="B73" s="672"/>
      <c r="C73" s="672"/>
      <c r="D73" s="672"/>
      <c r="E73" s="672"/>
      <c r="F73" s="672"/>
      <c r="G73" s="672"/>
      <c r="H73" s="672"/>
      <c r="I73" s="673"/>
      <c r="J73" s="674">
        <f>R70+S70+T70+U70+V70</f>
        <v>2671073.35</v>
      </c>
      <c r="K73" s="675"/>
      <c r="L73" s="675"/>
      <c r="M73" s="675"/>
      <c r="N73" s="676"/>
      <c r="O73" s="204"/>
      <c r="P73" s="204"/>
      <c r="Q73" s="204"/>
      <c r="R73" s="677"/>
      <c r="S73" s="677"/>
      <c r="T73" s="204"/>
      <c r="U73" s="204"/>
      <c r="V73" s="204"/>
      <c r="W73" s="204"/>
      <c r="X73" s="204"/>
      <c r="Z73" s="677"/>
    </row>
    <row r="74" spans="1:34" ht="21.5" thickBot="1">
      <c r="A74" s="665"/>
      <c r="B74" s="666"/>
      <c r="C74" s="666"/>
      <c r="D74" s="666"/>
      <c r="E74" s="666"/>
      <c r="F74" s="666"/>
      <c r="G74" s="666"/>
      <c r="H74" s="666"/>
      <c r="I74" s="667"/>
      <c r="J74" s="668"/>
      <c r="K74" s="669"/>
      <c r="L74" s="669"/>
      <c r="M74" s="669"/>
      <c r="N74" s="670"/>
      <c r="O74" s="204"/>
      <c r="P74" s="204"/>
      <c r="Q74" s="204"/>
      <c r="R74" s="677"/>
      <c r="S74" s="677"/>
      <c r="T74" s="677"/>
      <c r="U74" s="677"/>
      <c r="V74" s="677"/>
      <c r="W74" s="677"/>
      <c r="X74" s="677"/>
      <c r="Z74" s="677"/>
    </row>
    <row r="75" spans="1:34" ht="21.5" thickBot="1">
      <c r="A75" s="484" t="s">
        <v>272</v>
      </c>
      <c r="B75" s="678"/>
      <c r="C75" s="678"/>
      <c r="D75" s="678"/>
      <c r="E75" s="678"/>
      <c r="F75" s="678"/>
      <c r="G75" s="678"/>
      <c r="H75" s="678"/>
      <c r="I75" s="679"/>
      <c r="J75" s="680">
        <f>J71-J73</f>
        <v>63570950.75</v>
      </c>
      <c r="K75" s="678"/>
      <c r="L75" s="678"/>
      <c r="M75" s="678"/>
      <c r="N75" s="679"/>
      <c r="O75" s="681"/>
      <c r="P75" s="681"/>
      <c r="Q75" s="681"/>
      <c r="R75" s="682"/>
      <c r="S75" s="677"/>
      <c r="T75" s="677"/>
      <c r="U75" s="677"/>
      <c r="V75" s="677"/>
      <c r="W75" s="677"/>
      <c r="X75" s="677"/>
      <c r="Z75" s="677"/>
    </row>
    <row r="76" spans="1:34" ht="21.5" thickBot="1">
      <c r="T76" s="677"/>
      <c r="U76" s="677"/>
      <c r="V76" s="677"/>
      <c r="W76" s="684"/>
      <c r="X76" s="684"/>
      <c r="Z76" s="677"/>
    </row>
    <row r="77" spans="1:34" ht="21.5" thickBot="1">
      <c r="H77" s="484" t="s">
        <v>273</v>
      </c>
      <c r="I77" s="485"/>
      <c r="J77" s="485"/>
      <c r="K77" s="685"/>
      <c r="L77" s="686"/>
      <c r="M77" s="686"/>
      <c r="N77" s="687"/>
      <c r="T77" s="677"/>
      <c r="U77" s="677"/>
      <c r="V77" s="677"/>
      <c r="W77" s="677"/>
      <c r="X77" s="677"/>
      <c r="Z77" s="677"/>
      <c r="AA77" s="677"/>
      <c r="AC77" s="677"/>
    </row>
    <row r="78" spans="1:34" ht="21.5" thickBot="1">
      <c r="H78" s="500" t="s">
        <v>106</v>
      </c>
      <c r="I78" s="688" t="s">
        <v>107</v>
      </c>
      <c r="J78" s="688" t="s">
        <v>108</v>
      </c>
      <c r="K78" s="689" t="s">
        <v>109</v>
      </c>
      <c r="N78" s="690"/>
      <c r="Q78" s="691"/>
      <c r="T78" s="677"/>
      <c r="U78" s="677"/>
      <c r="V78" s="677"/>
      <c r="W78" s="677"/>
      <c r="X78" s="677"/>
      <c r="AB78" s="533"/>
    </row>
    <row r="79" spans="1:34" ht="63">
      <c r="H79" s="692">
        <v>1</v>
      </c>
      <c r="I79" s="693" t="s">
        <v>274</v>
      </c>
      <c r="J79" s="694">
        <f>J70</f>
        <v>1453395</v>
      </c>
      <c r="K79" s="693" t="s">
        <v>111</v>
      </c>
      <c r="M79" s="677"/>
      <c r="N79" s="690"/>
      <c r="Q79" s="695"/>
    </row>
    <row r="80" spans="1:34" ht="63.5" thickBot="1">
      <c r="H80" s="696">
        <v>2</v>
      </c>
      <c r="I80" s="697" t="s">
        <v>275</v>
      </c>
      <c r="J80" s="698">
        <f>K70</f>
        <v>10978461</v>
      </c>
      <c r="K80" s="697" t="s">
        <v>111</v>
      </c>
      <c r="N80" s="690"/>
      <c r="Q80" s="695"/>
    </row>
    <row r="81" spans="1:26" ht="63">
      <c r="F81" s="683">
        <f>F80-F79</f>
        <v>0</v>
      </c>
      <c r="H81" s="692">
        <v>3</v>
      </c>
      <c r="I81" s="693" t="s">
        <v>276</v>
      </c>
      <c r="J81" s="694">
        <f>L70-L39</f>
        <v>6605463</v>
      </c>
      <c r="K81" s="693" t="s">
        <v>111</v>
      </c>
      <c r="L81" s="699" t="s">
        <v>114</v>
      </c>
      <c r="N81" s="690"/>
    </row>
    <row r="82" spans="1:26" ht="63.5" thickBot="1">
      <c r="B82" s="577"/>
      <c r="H82" s="700">
        <v>3</v>
      </c>
      <c r="I82" s="701" t="s">
        <v>277</v>
      </c>
      <c r="J82" s="702">
        <v>125000</v>
      </c>
      <c r="K82" s="701" t="s">
        <v>116</v>
      </c>
      <c r="L82" s="703"/>
      <c r="N82" s="690"/>
      <c r="Q82" s="704"/>
      <c r="Z82" s="677"/>
    </row>
    <row r="83" spans="1:26" ht="63.5" thickBot="1">
      <c r="B83" s="577"/>
      <c r="G83" s="483" t="s">
        <v>278</v>
      </c>
      <c r="H83" s="700">
        <v>4</v>
      </c>
      <c r="I83" s="705" t="s">
        <v>279</v>
      </c>
      <c r="J83" s="702">
        <f>M70</f>
        <v>10610813.75</v>
      </c>
      <c r="K83" s="693" t="s">
        <v>111</v>
      </c>
      <c r="N83" s="690"/>
      <c r="Z83" s="677"/>
    </row>
    <row r="84" spans="1:26" ht="63.5" thickBot="1">
      <c r="A84" s="483" t="s">
        <v>280</v>
      </c>
      <c r="B84" s="577"/>
      <c r="H84" s="700">
        <v>5</v>
      </c>
      <c r="I84" s="705" t="s">
        <v>281</v>
      </c>
      <c r="J84" s="702">
        <f>N70</f>
        <v>9405459.5</v>
      </c>
      <c r="K84" s="693" t="s">
        <v>111</v>
      </c>
      <c r="N84" s="690"/>
      <c r="Z84" s="677"/>
    </row>
    <row r="85" spans="1:26" ht="63.5" thickBot="1">
      <c r="B85" s="577"/>
      <c r="H85" s="700">
        <v>6</v>
      </c>
      <c r="I85" s="705" t="s">
        <v>282</v>
      </c>
      <c r="J85" s="706">
        <f>O70</f>
        <v>12804524.5</v>
      </c>
      <c r="K85" s="707" t="s">
        <v>111</v>
      </c>
      <c r="N85" s="690"/>
      <c r="Z85" s="677"/>
    </row>
    <row r="86" spans="1:26" ht="63.5" thickBot="1">
      <c r="B86" s="577"/>
      <c r="H86" s="700">
        <v>7</v>
      </c>
      <c r="I86" s="705" t="s">
        <v>283</v>
      </c>
      <c r="J86" s="706">
        <f>P70</f>
        <v>2964927</v>
      </c>
      <c r="K86" s="705" t="s">
        <v>111</v>
      </c>
      <c r="N86" s="690"/>
      <c r="Z86" s="677"/>
    </row>
    <row r="87" spans="1:26" ht="63.5" thickBot="1">
      <c r="B87" s="577"/>
      <c r="H87" s="700">
        <v>8</v>
      </c>
      <c r="I87" s="705" t="s">
        <v>284</v>
      </c>
      <c r="J87" s="706">
        <f>Q70</f>
        <v>11293980.35</v>
      </c>
      <c r="K87" s="705" t="s">
        <v>111</v>
      </c>
      <c r="N87" s="690"/>
      <c r="Z87" s="677"/>
    </row>
    <row r="88" spans="1:26" ht="21.5" thickBot="1">
      <c r="A88" s="483" t="s">
        <v>285</v>
      </c>
      <c r="B88" s="577"/>
      <c r="H88" s="708"/>
      <c r="I88" s="709"/>
      <c r="J88" s="710"/>
      <c r="K88" s="709"/>
      <c r="N88" s="690"/>
      <c r="Z88" s="677"/>
    </row>
    <row r="89" spans="1:26" ht="42.5" thickBot="1">
      <c r="A89" s="483" t="s">
        <v>286</v>
      </c>
      <c r="B89" s="677"/>
      <c r="H89" s="711" t="s">
        <v>123</v>
      </c>
      <c r="I89" s="679"/>
      <c r="J89" s="712">
        <f>SUM(J79:J87)</f>
        <v>66242024.100000001</v>
      </c>
      <c r="K89" s="705" t="s">
        <v>287</v>
      </c>
      <c r="N89" s="690"/>
      <c r="Z89" s="677"/>
    </row>
    <row r="90" spans="1:26" ht="21.5" thickBot="1">
      <c r="B90" s="677"/>
      <c r="H90" s="484" t="s">
        <v>288</v>
      </c>
      <c r="I90" s="685"/>
      <c r="J90" s="712">
        <f>R70+S70+T70+U70+V70</f>
        <v>2671073.35</v>
      </c>
      <c r="K90" s="713"/>
      <c r="L90" s="500" t="s">
        <v>130</v>
      </c>
      <c r="M90" s="500" t="s">
        <v>131</v>
      </c>
      <c r="N90" s="714" t="s">
        <v>109</v>
      </c>
      <c r="Z90" s="677"/>
    </row>
    <row r="91" spans="1:26" ht="63.5" thickBot="1">
      <c r="B91" s="677"/>
      <c r="H91" s="711" t="s">
        <v>127</v>
      </c>
      <c r="I91" s="679"/>
      <c r="J91" s="712">
        <f>J89-J90</f>
        <v>63570950.75</v>
      </c>
      <c r="K91" s="715" t="s">
        <v>128</v>
      </c>
      <c r="L91" s="716">
        <v>125000</v>
      </c>
      <c r="M91" s="717">
        <f>J91-L91</f>
        <v>63445950.75</v>
      </c>
      <c r="N91" s="714" t="s">
        <v>289</v>
      </c>
      <c r="Z91" s="533"/>
    </row>
    <row r="92" spans="1:26" ht="21.5" thickBot="1">
      <c r="A92" s="483" t="s">
        <v>290</v>
      </c>
      <c r="B92" s="533"/>
      <c r="L92" s="718"/>
      <c r="M92" s="718"/>
      <c r="N92" s="718"/>
      <c r="O92" s="677"/>
      <c r="P92" s="677"/>
      <c r="Q92" s="677"/>
      <c r="Y92" s="719" t="s">
        <v>291</v>
      </c>
      <c r="Z92" s="533"/>
    </row>
    <row r="93" spans="1:26" ht="63.5" thickBot="1">
      <c r="B93" s="533"/>
      <c r="Y93" s="720" t="s">
        <v>292</v>
      </c>
    </row>
    <row r="94" spans="1:26" ht="21.5" thickBot="1">
      <c r="L94" s="677"/>
      <c r="M94" s="677"/>
      <c r="Y94" s="500" t="s">
        <v>106</v>
      </c>
    </row>
    <row r="95" spans="1:26">
      <c r="H95" s="691"/>
      <c r="I95" s="691"/>
      <c r="J95" s="691"/>
      <c r="Y95" s="721">
        <v>1</v>
      </c>
    </row>
    <row r="96" spans="1:26">
      <c r="H96" s="483"/>
      <c r="J96" s="722"/>
      <c r="Y96" s="723">
        <v>2</v>
      </c>
    </row>
    <row r="97" spans="5:25">
      <c r="E97" s="483"/>
      <c r="F97" s="483"/>
      <c r="H97" s="483"/>
      <c r="J97" s="722"/>
      <c r="Y97" s="723">
        <v>3</v>
      </c>
    </row>
    <row r="98" spans="5:25">
      <c r="E98" s="483"/>
      <c r="F98" s="483"/>
      <c r="H98" s="483"/>
      <c r="Y98" s="723">
        <v>4</v>
      </c>
    </row>
    <row r="99" spans="5:25">
      <c r="E99" s="483"/>
      <c r="F99" s="483"/>
      <c r="H99" s="724"/>
      <c r="I99" s="724"/>
      <c r="J99" s="725"/>
      <c r="Y99" s="723">
        <v>5</v>
      </c>
    </row>
    <row r="100" spans="5:25" ht="21.5" thickBot="1">
      <c r="E100" s="483"/>
      <c r="F100" s="483"/>
      <c r="Y100" s="726">
        <v>6</v>
      </c>
    </row>
    <row r="101" spans="5:25" ht="21.5" thickBot="1">
      <c r="E101" s="483"/>
      <c r="F101" s="483"/>
      <c r="Y101" s="719" t="s">
        <v>293</v>
      </c>
    </row>
    <row r="102" spans="5:25" ht="21.5" thickBot="1">
      <c r="E102" s="483"/>
      <c r="F102" s="483"/>
      <c r="H102" s="727"/>
      <c r="K102" s="577"/>
      <c r="L102" s="718"/>
      <c r="M102" s="718"/>
      <c r="N102" s="718"/>
      <c r="O102" s="718"/>
      <c r="P102" s="718"/>
      <c r="Q102" s="718"/>
      <c r="R102" s="577"/>
      <c r="S102" s="577"/>
      <c r="T102" s="577"/>
      <c r="U102" s="577"/>
      <c r="V102" s="577"/>
      <c r="W102" s="577"/>
      <c r="X102" s="577"/>
      <c r="Y102" s="719" t="s">
        <v>294</v>
      </c>
    </row>
    <row r="103" spans="5:25" ht="42.5" thickBot="1">
      <c r="E103" s="483"/>
      <c r="F103" s="483"/>
      <c r="K103" s="577"/>
      <c r="L103" s="718"/>
      <c r="M103" s="718"/>
      <c r="N103" s="718"/>
      <c r="O103" s="718"/>
      <c r="P103" s="718"/>
      <c r="Q103" s="718"/>
      <c r="R103" s="577"/>
      <c r="S103" s="577"/>
      <c r="T103" s="577"/>
      <c r="U103" s="577"/>
      <c r="V103" s="577"/>
      <c r="W103" s="577"/>
      <c r="X103" s="577"/>
      <c r="Y103" s="728" t="s">
        <v>295</v>
      </c>
    </row>
    <row r="104" spans="5:25">
      <c r="E104" s="483"/>
      <c r="F104" s="483"/>
      <c r="K104" s="577"/>
      <c r="M104" s="718"/>
      <c r="N104" s="718"/>
      <c r="O104" s="718"/>
      <c r="P104" s="718"/>
      <c r="Q104" s="718"/>
      <c r="R104" s="577"/>
      <c r="S104" s="577"/>
      <c r="T104" s="577"/>
      <c r="U104" s="577"/>
      <c r="V104" s="577"/>
      <c r="W104" s="577"/>
      <c r="X104" s="577"/>
      <c r="Y104" s="577"/>
    </row>
    <row r="108" spans="5:25">
      <c r="E108" s="483"/>
      <c r="F108" s="483"/>
      <c r="L108" s="533"/>
    </row>
    <row r="109" spans="5:25">
      <c r="E109" s="483"/>
      <c r="F109" s="483"/>
      <c r="L109" s="533"/>
    </row>
  </sheetData>
  <mergeCells count="20">
    <mergeCell ref="H91:I91"/>
    <mergeCell ref="H99:I99"/>
    <mergeCell ref="A75:I75"/>
    <mergeCell ref="J75:N75"/>
    <mergeCell ref="H77:K77"/>
    <mergeCell ref="L81:L82"/>
    <mergeCell ref="H89:I89"/>
    <mergeCell ref="H90:I90"/>
    <mergeCell ref="A70:C70"/>
    <mergeCell ref="Z70:AB70"/>
    <mergeCell ref="A71:I72"/>
    <mergeCell ref="J71:N72"/>
    <mergeCell ref="A73:I74"/>
    <mergeCell ref="J73:N74"/>
    <mergeCell ref="AJ27:AK27"/>
    <mergeCell ref="A1:Y1"/>
    <mergeCell ref="A2:Y2"/>
    <mergeCell ref="A3:C3"/>
    <mergeCell ref="Z3:AB3"/>
    <mergeCell ref="AG27:AH2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K57"/>
  <sheetViews>
    <sheetView tabSelected="1" topLeftCell="A10" workbookViewId="0">
      <selection activeCell="G19" sqref="A1:XFD1048576"/>
    </sheetView>
  </sheetViews>
  <sheetFormatPr defaultRowHeight="14.5"/>
  <cols>
    <col min="6" max="6" width="4.6328125" customWidth="1"/>
    <col min="7" max="7" width="32.90625" customWidth="1"/>
    <col min="8" max="8" width="25.26953125" customWidth="1"/>
    <col min="9" max="9" width="19.90625" customWidth="1"/>
    <col min="10" max="10" width="34.1796875" customWidth="1"/>
  </cols>
  <sheetData>
    <row r="1" spans="6:11">
      <c r="G1" s="467" t="s">
        <v>134</v>
      </c>
      <c r="H1" s="468"/>
      <c r="I1" s="468"/>
      <c r="J1" s="468"/>
      <c r="K1" s="469"/>
    </row>
    <row r="2" spans="6:11">
      <c r="G2" s="470"/>
      <c r="H2" s="471"/>
      <c r="I2" s="471"/>
      <c r="J2" s="471"/>
      <c r="K2" s="472"/>
    </row>
    <row r="3" spans="6:11" ht="15" thickBot="1">
      <c r="G3" s="473"/>
      <c r="H3" s="474"/>
      <c r="I3" s="474"/>
      <c r="J3" s="474"/>
      <c r="K3" s="475"/>
    </row>
    <row r="4" spans="6:11" ht="15" thickBot="1"/>
    <row r="5" spans="6:11" ht="15" hidden="1" thickBot="1"/>
    <row r="6" spans="6:11" ht="46.5" customHeight="1" thickBot="1">
      <c r="F6" s="56"/>
      <c r="G6" s="476" t="s">
        <v>133</v>
      </c>
      <c r="H6" s="476"/>
      <c r="I6" s="476"/>
      <c r="J6" s="476"/>
    </row>
    <row r="7" spans="6:11" ht="29" customHeight="1" thickBot="1">
      <c r="F7" s="43"/>
      <c r="G7" s="57" t="s">
        <v>106</v>
      </c>
      <c r="H7" s="58" t="s">
        <v>107</v>
      </c>
      <c r="I7" s="59" t="s">
        <v>108</v>
      </c>
      <c r="J7" s="59" t="s">
        <v>109</v>
      </c>
    </row>
    <row r="8" spans="6:11" ht="29" thickBot="1">
      <c r="F8" s="43"/>
      <c r="G8" s="52">
        <v>1</v>
      </c>
      <c r="H8" s="55" t="s">
        <v>110</v>
      </c>
      <c r="I8" s="53">
        <v>1453395</v>
      </c>
      <c r="J8" s="46" t="s">
        <v>111</v>
      </c>
    </row>
    <row r="9" spans="6:11" ht="29" thickBot="1">
      <c r="F9" s="43"/>
      <c r="G9" s="45">
        <v>2</v>
      </c>
      <c r="H9" s="54" t="s">
        <v>112</v>
      </c>
      <c r="I9" s="47">
        <v>10978461</v>
      </c>
      <c r="J9" s="46" t="s">
        <v>111</v>
      </c>
    </row>
    <row r="10" spans="6:11" ht="29" customHeight="1" thickBot="1">
      <c r="F10" s="43"/>
      <c r="G10" s="45">
        <v>3</v>
      </c>
      <c r="H10" s="46" t="s">
        <v>113</v>
      </c>
      <c r="I10" s="47">
        <v>6605463</v>
      </c>
      <c r="J10" s="46" t="s">
        <v>111</v>
      </c>
    </row>
    <row r="11" spans="6:11" ht="29" thickBot="1">
      <c r="F11" s="43"/>
      <c r="G11" s="45">
        <v>3</v>
      </c>
      <c r="H11" s="46" t="s">
        <v>115</v>
      </c>
      <c r="I11" s="47">
        <v>125000</v>
      </c>
      <c r="J11" s="46" t="s">
        <v>116</v>
      </c>
    </row>
    <row r="12" spans="6:11" ht="29" thickBot="1">
      <c r="F12" s="43"/>
      <c r="G12" s="45">
        <v>4</v>
      </c>
      <c r="H12" s="46" t="s">
        <v>117</v>
      </c>
      <c r="I12" s="47">
        <v>10610813.75</v>
      </c>
      <c r="J12" s="46" t="s">
        <v>111</v>
      </c>
    </row>
    <row r="13" spans="6:11" ht="29" thickBot="1">
      <c r="F13" s="43"/>
      <c r="G13" s="45">
        <v>5</v>
      </c>
      <c r="H13" s="46" t="s">
        <v>118</v>
      </c>
      <c r="I13" s="47">
        <v>9405459.5</v>
      </c>
      <c r="J13" s="46" t="s">
        <v>111</v>
      </c>
    </row>
    <row r="14" spans="6:11" ht="29" thickBot="1">
      <c r="F14" s="43"/>
      <c r="G14" s="45">
        <v>6</v>
      </c>
      <c r="H14" s="46" t="s">
        <v>119</v>
      </c>
      <c r="I14" s="47">
        <v>12804524.5</v>
      </c>
      <c r="J14" s="46" t="s">
        <v>111</v>
      </c>
    </row>
    <row r="15" spans="6:11" ht="29" thickBot="1">
      <c r="F15" s="43"/>
      <c r="G15" s="45">
        <v>7</v>
      </c>
      <c r="H15" s="46" t="s">
        <v>120</v>
      </c>
      <c r="I15" s="47">
        <v>2964927</v>
      </c>
      <c r="J15" s="46" t="s">
        <v>111</v>
      </c>
    </row>
    <row r="16" spans="6:11" ht="29" thickBot="1">
      <c r="F16" s="43"/>
      <c r="G16" s="45">
        <v>8</v>
      </c>
      <c r="H16" s="46" t="s">
        <v>121</v>
      </c>
      <c r="I16" s="47">
        <v>11293980.35</v>
      </c>
      <c r="J16" s="46" t="s">
        <v>111</v>
      </c>
    </row>
    <row r="17" spans="6:10" ht="29" thickBot="1">
      <c r="F17" s="43"/>
      <c r="G17" s="45">
        <v>9</v>
      </c>
      <c r="H17" s="46" t="s">
        <v>122</v>
      </c>
      <c r="I17" s="47">
        <v>5873635</v>
      </c>
      <c r="J17" s="46" t="s">
        <v>111</v>
      </c>
    </row>
    <row r="18" spans="6:10" ht="15" thickBot="1">
      <c r="F18" s="43"/>
      <c r="G18" s="46"/>
      <c r="H18" s="46"/>
      <c r="I18" s="46"/>
      <c r="J18" s="46"/>
    </row>
    <row r="19" spans="6:10" ht="29" thickBot="1">
      <c r="F19" s="43"/>
      <c r="G19" s="477" t="s">
        <v>123</v>
      </c>
      <c r="H19" s="478"/>
      <c r="I19" s="60">
        <v>72115659</v>
      </c>
      <c r="J19" s="61" t="s">
        <v>124</v>
      </c>
    </row>
    <row r="20" spans="6:10" ht="31.5" thickBot="1">
      <c r="F20" s="43"/>
      <c r="G20" s="49" t="s">
        <v>125</v>
      </c>
      <c r="H20" s="50"/>
      <c r="I20" s="51">
        <v>2756778</v>
      </c>
      <c r="J20" s="50" t="s">
        <v>126</v>
      </c>
    </row>
    <row r="21" spans="6:10" ht="28.5" thickBot="1">
      <c r="F21" s="43"/>
      <c r="G21" s="62" t="s">
        <v>127</v>
      </c>
      <c r="H21" s="63"/>
      <c r="I21" s="60">
        <v>69358881</v>
      </c>
      <c r="J21" s="63" t="s">
        <v>128</v>
      </c>
    </row>
    <row r="22" spans="6:10" ht="15" thickBot="1">
      <c r="F22" s="48"/>
      <c r="G22" s="48"/>
      <c r="H22" s="48"/>
    </row>
    <row r="23" spans="6:10">
      <c r="F23" s="42"/>
      <c r="G23" s="42"/>
      <c r="H23" s="42"/>
    </row>
    <row r="24" spans="6:10" ht="15" thickBot="1">
      <c r="F24" s="42"/>
      <c r="G24" s="42"/>
      <c r="H24" s="42"/>
    </row>
    <row r="25" spans="6:10" ht="15" thickBot="1">
      <c r="F25" s="44"/>
      <c r="G25" s="42"/>
      <c r="H25" s="42"/>
      <c r="I25" s="42"/>
      <c r="J25" s="42"/>
    </row>
    <row r="26" spans="6:10">
      <c r="G26" s="42"/>
      <c r="H26" s="42"/>
      <c r="I26" s="42"/>
      <c r="J26" s="42"/>
    </row>
    <row r="27" spans="6:10">
      <c r="G27" s="42"/>
      <c r="H27" s="42"/>
      <c r="I27" s="42"/>
      <c r="J27" s="42"/>
    </row>
    <row r="28" spans="6:10">
      <c r="G28" s="42"/>
      <c r="H28" s="42"/>
      <c r="I28" s="42"/>
      <c r="J28" s="42"/>
    </row>
    <row r="29" spans="6:10">
      <c r="G29" s="42"/>
      <c r="H29" s="42"/>
      <c r="I29" s="42"/>
      <c r="J29" s="42"/>
    </row>
    <row r="30" spans="6:10">
      <c r="G30" s="42"/>
      <c r="H30" s="42"/>
      <c r="I30" s="42"/>
      <c r="J30" s="42"/>
    </row>
    <row r="31" spans="6:10">
      <c r="G31" s="42"/>
      <c r="H31" s="42"/>
      <c r="I31" s="42"/>
      <c r="J31" s="42"/>
    </row>
    <row r="32" spans="6:10">
      <c r="G32" s="42"/>
      <c r="H32" s="42"/>
      <c r="I32" s="42"/>
      <c r="J32" s="42"/>
    </row>
    <row r="33" spans="7:10">
      <c r="G33" s="42"/>
      <c r="H33" s="42"/>
      <c r="I33" s="42"/>
      <c r="J33" s="42"/>
    </row>
    <row r="34" spans="7:10">
      <c r="G34" s="42"/>
      <c r="H34" s="42"/>
      <c r="I34" s="42"/>
      <c r="J34" s="42"/>
    </row>
    <row r="35" spans="7:10">
      <c r="G35" s="42"/>
      <c r="H35" s="42"/>
      <c r="I35" s="42"/>
      <c r="J35" s="42"/>
    </row>
    <row r="36" spans="7:10">
      <c r="G36" s="42"/>
      <c r="H36" s="42"/>
      <c r="I36" s="42"/>
      <c r="J36" s="42"/>
    </row>
    <row r="37" spans="7:10">
      <c r="G37" s="42"/>
      <c r="H37" s="42"/>
      <c r="I37" s="42"/>
      <c r="J37" s="42"/>
    </row>
    <row r="38" spans="7:10">
      <c r="G38" s="42"/>
      <c r="H38" s="42"/>
      <c r="I38" s="42"/>
      <c r="J38" s="42"/>
    </row>
    <row r="39" spans="7:10">
      <c r="G39" s="42"/>
      <c r="H39" s="42"/>
      <c r="I39" s="42"/>
      <c r="J39" s="42"/>
    </row>
    <row r="40" spans="7:10">
      <c r="G40" s="42"/>
      <c r="H40" s="42"/>
      <c r="I40" s="42"/>
      <c r="J40" s="42"/>
    </row>
    <row r="41" spans="7:10">
      <c r="G41" s="42"/>
      <c r="H41" s="42"/>
      <c r="I41" s="42"/>
      <c r="J41" s="42"/>
    </row>
    <row r="42" spans="7:10">
      <c r="G42" s="42"/>
      <c r="H42" s="42"/>
      <c r="I42" s="42"/>
      <c r="J42" s="42"/>
    </row>
    <row r="43" spans="7:10">
      <c r="G43" s="42"/>
      <c r="H43" s="42"/>
      <c r="I43" s="42"/>
      <c r="J43" s="42"/>
    </row>
    <row r="44" spans="7:10">
      <c r="G44" s="42"/>
      <c r="H44" s="42"/>
      <c r="I44" s="42"/>
      <c r="J44" s="42"/>
    </row>
    <row r="45" spans="7:10">
      <c r="G45" s="42"/>
      <c r="H45" s="42"/>
      <c r="I45" s="42"/>
      <c r="J45" s="42"/>
    </row>
    <row r="46" spans="7:10">
      <c r="G46" s="42"/>
      <c r="H46" s="42"/>
      <c r="I46" s="42"/>
      <c r="J46" s="42"/>
    </row>
    <row r="47" spans="7:10">
      <c r="G47" s="42"/>
      <c r="H47" s="42"/>
      <c r="I47" s="42"/>
      <c r="J47" s="42"/>
    </row>
    <row r="48" spans="7:10">
      <c r="G48" s="42"/>
      <c r="H48" s="42"/>
      <c r="I48" s="42"/>
      <c r="J48" s="42"/>
    </row>
    <row r="49" spans="7:10">
      <c r="G49" s="42"/>
      <c r="H49" s="42"/>
      <c r="I49" s="42"/>
      <c r="J49" s="42"/>
    </row>
    <row r="50" spans="7:10">
      <c r="G50" s="42"/>
      <c r="H50" s="42"/>
      <c r="I50" s="42"/>
      <c r="J50" s="42"/>
    </row>
    <row r="51" spans="7:10">
      <c r="G51" s="42"/>
      <c r="H51" s="42"/>
      <c r="I51" s="42"/>
      <c r="J51" s="42"/>
    </row>
    <row r="52" spans="7:10">
      <c r="G52" s="42"/>
      <c r="H52" s="42"/>
      <c r="I52" s="42"/>
      <c r="J52" s="42"/>
    </row>
    <row r="53" spans="7:10">
      <c r="G53" s="42"/>
      <c r="H53" s="42"/>
      <c r="I53" s="42"/>
      <c r="J53" s="42"/>
    </row>
    <row r="54" spans="7:10">
      <c r="G54" s="42"/>
      <c r="H54" s="42"/>
      <c r="I54" s="42"/>
      <c r="J54" s="42"/>
    </row>
    <row r="55" spans="7:10">
      <c r="G55" s="42"/>
      <c r="H55" s="42"/>
      <c r="I55" s="42"/>
      <c r="J55" s="42"/>
    </row>
    <row r="56" spans="7:10">
      <c r="G56" s="42"/>
      <c r="H56" s="42"/>
      <c r="I56" s="42"/>
      <c r="J56" s="42"/>
    </row>
    <row r="57" spans="7:10">
      <c r="G57" s="42"/>
      <c r="H57" s="42"/>
      <c r="I57" s="42"/>
      <c r="J57" s="42"/>
    </row>
  </sheetData>
  <mergeCells count="3">
    <mergeCell ref="G1:K3"/>
    <mergeCell ref="G6:J6"/>
    <mergeCell ref="G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Till Dec Billing</vt:lpstr>
      <vt:lpstr>Till-Nov Billing</vt:lpstr>
      <vt:lpstr>Month-wise billing-MIS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Pandey</dc:creator>
  <cp:lastModifiedBy>Admin</cp:lastModifiedBy>
  <dcterms:created xsi:type="dcterms:W3CDTF">2026-01-02T05:43:55Z</dcterms:created>
  <dcterms:modified xsi:type="dcterms:W3CDTF">2026-02-02T04:56:56Z</dcterms:modified>
</cp:coreProperties>
</file>